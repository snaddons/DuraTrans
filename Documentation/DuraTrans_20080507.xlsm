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60" yWindow="105" windowWidth="15480" windowHeight="11640" tabRatio="1000"/>
  </bookViews>
  <sheets>
    <sheet name="Activities" sheetId="1" r:id="rId1"/>
    <sheet name="Project Plan" sheetId="2" r:id="rId2"/>
    <sheet name="Actual Progress" sheetId="5" r:id="rId3"/>
    <sheet name="Earned Value Trends" sheetId="6" r:id="rId4"/>
    <sheet name="Analysis" sheetId="8" r:id="rId5"/>
  </sheets>
  <definedNames>
    <definedName name="_xlnm.Print_Area" localSheetId="0">Activities!$A$2:$D$41</definedName>
  </definedNames>
  <calcPr calcId="125725"/>
</workbook>
</file>

<file path=xl/calcChain.xml><?xml version="1.0" encoding="utf-8"?>
<calcChain xmlns="http://schemas.openxmlformats.org/spreadsheetml/2006/main">
  <c r="C6" i="2"/>
  <c r="C7"/>
  <c r="W48" i="1"/>
  <c r="W57"/>
  <c r="W66"/>
  <c r="AA66"/>
  <c r="AA57"/>
  <c r="AA48"/>
  <c r="AA30"/>
  <c r="AA12"/>
  <c r="AA21"/>
  <c r="W30"/>
  <c r="W21"/>
  <c r="S39"/>
  <c r="S48"/>
  <c r="S57"/>
  <c r="S66"/>
  <c r="AE67"/>
  <c r="S67"/>
  <c r="AA67"/>
  <c r="W67"/>
  <c r="AE48"/>
  <c r="G12" i="2"/>
  <c r="G11"/>
  <c r="G10"/>
  <c r="G9"/>
  <c r="G8"/>
  <c r="G7"/>
  <c r="G6"/>
  <c r="O48" i="1"/>
  <c r="N34"/>
  <c r="AE12"/>
  <c r="S12"/>
  <c r="K12"/>
  <c r="K21"/>
  <c r="W12"/>
  <c r="N65"/>
  <c r="N64"/>
  <c r="N63"/>
  <c r="N62"/>
  <c r="N61"/>
  <c r="N60"/>
  <c r="N59"/>
  <c r="N56"/>
  <c r="N55"/>
  <c r="N54"/>
  <c r="N53"/>
  <c r="N52"/>
  <c r="N51"/>
  <c r="N50"/>
  <c r="N47"/>
  <c r="R47" s="1"/>
  <c r="V47" s="1"/>
  <c r="Z47" s="1"/>
  <c r="AD47" s="1"/>
  <c r="N46"/>
  <c r="N45"/>
  <c r="R45" s="1"/>
  <c r="V45" s="1"/>
  <c r="Z45" s="1"/>
  <c r="AD45" s="1"/>
  <c r="N44"/>
  <c r="N43"/>
  <c r="N42"/>
  <c r="N41"/>
  <c r="N38"/>
  <c r="N36"/>
  <c r="N35"/>
  <c r="N29"/>
  <c r="N27"/>
  <c r="N26"/>
  <c r="N25"/>
  <c r="N24"/>
  <c r="N20"/>
  <c r="N19"/>
  <c r="N18"/>
  <c r="N17"/>
  <c r="N16"/>
  <c r="N15"/>
  <c r="N14"/>
  <c r="O21" s="1"/>
  <c r="N11"/>
  <c r="N10"/>
  <c r="N9"/>
  <c r="N8"/>
  <c r="N7"/>
  <c r="N6"/>
  <c r="J65"/>
  <c r="J64"/>
  <c r="J63"/>
  <c r="J62"/>
  <c r="J61"/>
  <c r="J60"/>
  <c r="J59"/>
  <c r="J56"/>
  <c r="J55"/>
  <c r="J54"/>
  <c r="J53"/>
  <c r="J52"/>
  <c r="J51"/>
  <c r="K57" s="1"/>
  <c r="J50"/>
  <c r="J47"/>
  <c r="J46"/>
  <c r="J45"/>
  <c r="J44"/>
  <c r="J43"/>
  <c r="J42"/>
  <c r="J41"/>
  <c r="J38"/>
  <c r="J37"/>
  <c r="J36"/>
  <c r="J35"/>
  <c r="J34"/>
  <c r="J33"/>
  <c r="J32"/>
  <c r="J29"/>
  <c r="J28"/>
  <c r="J27"/>
  <c r="J26"/>
  <c r="J25"/>
  <c r="J24"/>
  <c r="J23"/>
  <c r="J20"/>
  <c r="J18"/>
  <c r="J17"/>
  <c r="J16"/>
  <c r="J15"/>
  <c r="J11"/>
  <c r="J10"/>
  <c r="J9"/>
  <c r="J7"/>
  <c r="K66"/>
  <c r="K48"/>
  <c r="K39"/>
  <c r="K30"/>
  <c r="D6" i="2"/>
  <c r="D7" s="1"/>
  <c r="B10"/>
  <c r="B12"/>
  <c r="B11"/>
  <c r="A12"/>
  <c r="A11"/>
  <c r="A10"/>
  <c r="R65" i="1"/>
  <c r="V65" s="1"/>
  <c r="AD65" s="1"/>
  <c r="R64"/>
  <c r="V64" s="1"/>
  <c r="AD64" s="1"/>
  <c r="R63"/>
  <c r="V63" s="1"/>
  <c r="Z63" s="1"/>
  <c r="AD63" s="1"/>
  <c r="R62"/>
  <c r="V62" s="1"/>
  <c r="Z62" s="1"/>
  <c r="AD62" s="1"/>
  <c r="R61"/>
  <c r="V61" s="1"/>
  <c r="Z61" s="1"/>
  <c r="AD61" s="1"/>
  <c r="R60"/>
  <c r="V60" s="1"/>
  <c r="Z60" s="1"/>
  <c r="AD60" s="1"/>
  <c r="R59"/>
  <c r="V59" s="1"/>
  <c r="AD59" s="1"/>
  <c r="C58"/>
  <c r="D65" s="1"/>
  <c r="C49"/>
  <c r="D50" s="1"/>
  <c r="R50"/>
  <c r="D53"/>
  <c r="R53"/>
  <c r="Z53" s="1"/>
  <c r="AD53" s="1"/>
  <c r="D54"/>
  <c r="R54"/>
  <c r="V54" s="1"/>
  <c r="Z54" s="1"/>
  <c r="AD54" s="1"/>
  <c r="R55"/>
  <c r="V55" s="1"/>
  <c r="AD55" s="1"/>
  <c r="R56"/>
  <c r="V56" s="1"/>
  <c r="Z56" s="1"/>
  <c r="AD56" s="1"/>
  <c r="G57"/>
  <c r="R46"/>
  <c r="V46" s="1"/>
  <c r="AD46" s="1"/>
  <c r="V44"/>
  <c r="Z44" s="1"/>
  <c r="AD44" s="1"/>
  <c r="V42"/>
  <c r="Z42" s="1"/>
  <c r="AD42" s="1"/>
  <c r="C40"/>
  <c r="D46" s="1"/>
  <c r="R38"/>
  <c r="V38" s="1"/>
  <c r="Z38" s="1"/>
  <c r="AD38" s="1"/>
  <c r="R37"/>
  <c r="V37" s="1"/>
  <c r="Z37" s="1"/>
  <c r="AD37" s="1"/>
  <c r="R25"/>
  <c r="V25" s="1"/>
  <c r="Z25" s="1"/>
  <c r="AD25" s="1"/>
  <c r="R35"/>
  <c r="R33"/>
  <c r="R32"/>
  <c r="V32" s="1"/>
  <c r="Z32" s="1"/>
  <c r="AD32" s="1"/>
  <c r="R29"/>
  <c r="V29" s="1"/>
  <c r="Z29" s="1"/>
  <c r="AD29" s="1"/>
  <c r="R28"/>
  <c r="V28" s="1"/>
  <c r="Z28" s="1"/>
  <c r="AD28" s="1"/>
  <c r="R26"/>
  <c r="V26" s="1"/>
  <c r="Z26" s="1"/>
  <c r="AD26" s="1"/>
  <c r="R24"/>
  <c r="V24" s="1"/>
  <c r="Z24" s="1"/>
  <c r="AD24" s="1"/>
  <c r="R23"/>
  <c r="V23" s="1"/>
  <c r="Z23" s="1"/>
  <c r="AD23" s="1"/>
  <c r="R19"/>
  <c r="V19" s="1"/>
  <c r="Z19" s="1"/>
  <c r="AD19" s="1"/>
  <c r="R20"/>
  <c r="V20" s="1"/>
  <c r="Z20" s="1"/>
  <c r="AD20" s="1"/>
  <c r="R14"/>
  <c r="V14" s="1"/>
  <c r="Z14" s="1"/>
  <c r="AD14" s="1"/>
  <c r="AE21" s="1"/>
  <c r="R15"/>
  <c r="V15" s="1"/>
  <c r="Z15" s="1"/>
  <c r="AD15" s="1"/>
  <c r="R17"/>
  <c r="V17" s="1"/>
  <c r="Z17" s="1"/>
  <c r="AD17" s="1"/>
  <c r="R36"/>
  <c r="V36" s="1"/>
  <c r="Z36" s="1"/>
  <c r="AD36" s="1"/>
  <c r="R18"/>
  <c r="V18" s="1"/>
  <c r="Z18" s="1"/>
  <c r="AD18" s="1"/>
  <c r="R6"/>
  <c r="V6" s="1"/>
  <c r="Z6" s="1"/>
  <c r="AD6" s="1"/>
  <c r="R8"/>
  <c r="V8" s="1"/>
  <c r="Z8" s="1"/>
  <c r="AD8" s="1"/>
  <c r="R10"/>
  <c r="V10" s="1"/>
  <c r="Z10" s="1"/>
  <c r="AD10" s="1"/>
  <c r="R11"/>
  <c r="V11" s="1"/>
  <c r="Z11" s="1"/>
  <c r="AD11" s="1"/>
  <c r="N5"/>
  <c r="R5" s="1"/>
  <c r="C4"/>
  <c r="C31"/>
  <c r="C9" i="2" s="1"/>
  <c r="C13" i="1"/>
  <c r="C22"/>
  <c r="C8" i="2" s="1"/>
  <c r="R7" i="1"/>
  <c r="V7" s="1"/>
  <c r="Z7" s="1"/>
  <c r="AD7" s="1"/>
  <c r="R9"/>
  <c r="V9" s="1"/>
  <c r="Z9" s="1"/>
  <c r="AD9" s="1"/>
  <c r="B6" i="2"/>
  <c r="F3" i="1"/>
  <c r="J3" s="1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H3"/>
  <c r="D37"/>
  <c r="D33"/>
  <c r="D32"/>
  <c r="A9" i="2"/>
  <c r="A8"/>
  <c r="A7"/>
  <c r="A6"/>
  <c r="B9"/>
  <c r="B7"/>
  <c r="B8"/>
  <c r="D34" i="1"/>
  <c r="D38"/>
  <c r="D27"/>
  <c r="D15"/>
  <c r="D23"/>
  <c r="D36"/>
  <c r="C14" i="2" l="1"/>
  <c r="AI70" i="1" s="1"/>
  <c r="AE66"/>
  <c r="AE30"/>
  <c r="S30"/>
  <c r="S21"/>
  <c r="C10" i="2"/>
  <c r="D56" i="1"/>
  <c r="C11" i="2"/>
  <c r="C12"/>
  <c r="O66" i="1"/>
  <c r="Z50"/>
  <c r="AD50" s="1"/>
  <c r="O57"/>
  <c r="R51"/>
  <c r="Z51" s="1"/>
  <c r="V33"/>
  <c r="V35"/>
  <c r="Z35" s="1"/>
  <c r="AD35" s="1"/>
  <c r="O39"/>
  <c r="O30"/>
  <c r="V5"/>
  <c r="Z5" s="1"/>
  <c r="AD5" s="1"/>
  <c r="O12"/>
  <c r="D8" i="2"/>
  <c r="D9" s="1"/>
  <c r="D10" s="1"/>
  <c r="D11" s="1"/>
  <c r="D12" s="1"/>
  <c r="D24" i="1"/>
  <c r="D16"/>
  <c r="D60"/>
  <c r="D64"/>
  <c r="D63"/>
  <c r="D59"/>
  <c r="D61"/>
  <c r="D62"/>
  <c r="D35"/>
  <c r="D19"/>
  <c r="D11"/>
  <c r="D26"/>
  <c r="D17"/>
  <c r="D29"/>
  <c r="D20"/>
  <c r="D28"/>
  <c r="D18"/>
  <c r="D14"/>
  <c r="D25"/>
  <c r="A3" i="5"/>
  <c r="D10" i="1"/>
  <c r="D5"/>
  <c r="R16"/>
  <c r="V16" s="1"/>
  <c r="Z16" s="1"/>
  <c r="AD16" s="1"/>
  <c r="N3"/>
  <c r="P3" s="1"/>
  <c r="L3"/>
  <c r="D6"/>
  <c r="D9"/>
  <c r="D7"/>
  <c r="D8"/>
  <c r="F9" i="2"/>
  <c r="D31" i="1"/>
  <c r="D52"/>
  <c r="R27"/>
  <c r="V27" s="1"/>
  <c r="Z27" s="1"/>
  <c r="AD27" s="1"/>
  <c r="R34"/>
  <c r="D55"/>
  <c r="D51"/>
  <c r="R52"/>
  <c r="V52" s="1"/>
  <c r="Z52" s="1"/>
  <c r="AD52" s="1"/>
  <c r="D41"/>
  <c r="D43"/>
  <c r="R43"/>
  <c r="V43" s="1"/>
  <c r="Z43" s="1"/>
  <c r="AD43" s="1"/>
  <c r="D44"/>
  <c r="D47"/>
  <c r="D42"/>
  <c r="D45"/>
  <c r="A4" i="5"/>
  <c r="Z33" i="1" l="1"/>
  <c r="B4" i="5"/>
  <c r="AD51" i="1"/>
  <c r="AE57" s="1"/>
  <c r="V41"/>
  <c r="B6" i="5"/>
  <c r="V34" i="1"/>
  <c r="Z34" s="1"/>
  <c r="AD34" s="1"/>
  <c r="B5" i="5"/>
  <c r="F12" i="2"/>
  <c r="E12"/>
  <c r="F11"/>
  <c r="E11"/>
  <c r="F10"/>
  <c r="E10"/>
  <c r="D22" i="1"/>
  <c r="D58"/>
  <c r="A5" i="5"/>
  <c r="D13" i="1"/>
  <c r="R3"/>
  <c r="F7" i="2"/>
  <c r="D49" i="1"/>
  <c r="D4"/>
  <c r="E6" i="2"/>
  <c r="E7"/>
  <c r="F6"/>
  <c r="F8"/>
  <c r="C4" i="5"/>
  <c r="C5" s="1"/>
  <c r="C6" s="1"/>
  <c r="C7" s="1"/>
  <c r="C8" s="1"/>
  <c r="E9" i="2"/>
  <c r="E8"/>
  <c r="D40" i="1"/>
  <c r="Z41" l="1"/>
  <c r="W39"/>
  <c r="AD33"/>
  <c r="AE39" s="1"/>
  <c r="AA39"/>
  <c r="T3"/>
  <c r="V3"/>
  <c r="A6" i="5"/>
  <c r="AD41" i="1" l="1"/>
  <c r="B8" i="5"/>
  <c r="B7"/>
  <c r="X3" i="1"/>
  <c r="A7" i="5"/>
  <c r="Z3" i="1"/>
  <c r="AB3" l="1"/>
  <c r="AD3"/>
  <c r="A8" i="5"/>
  <c r="AF3" i="1" l="1"/>
</calcChain>
</file>

<file path=xl/comments1.xml><?xml version="1.0" encoding="utf-8"?>
<comments xmlns="http://schemas.openxmlformats.org/spreadsheetml/2006/main">
  <authors>
    <author>Administrator</author>
    <author>ssnaddon</author>
  </authors>
  <commentList>
    <comment ref="C3" authorId="0">
      <text>
        <r>
          <rPr>
            <b/>
            <sz val="8"/>
            <color indexed="81"/>
            <rFont val="Tahoma"/>
          </rPr>
          <t>Administrator:</t>
        </r>
        <r>
          <rPr>
            <sz val="8"/>
            <color indexed="81"/>
            <rFont val="Tahoma"/>
          </rPr>
          <t xml:space="preserve">
Estimated Effort</t>
        </r>
      </text>
    </comment>
    <comment ref="H3" authorId="1">
      <text>
        <r>
          <rPr>
            <b/>
            <sz val="8"/>
            <color indexed="81"/>
            <rFont val="Tahoma"/>
          </rPr>
          <t>ssnaddon:</t>
        </r>
        <r>
          <rPr>
            <sz val="8"/>
            <color indexed="81"/>
            <rFont val="Tahoma"/>
          </rPr>
          <t xml:space="preserve">
Updated from Project Plan start date</t>
        </r>
      </text>
    </comment>
    <comment ref="B5" authorId="1">
      <text>
        <r>
          <rPr>
            <b/>
            <sz val="8"/>
            <color indexed="81"/>
            <rFont val="Tahoma"/>
          </rPr>
          <t>ssnaddon:</t>
        </r>
        <r>
          <rPr>
            <sz val="8"/>
            <color indexed="81"/>
            <rFont val="Tahoma"/>
          </rPr>
          <t xml:space="preserve">
Research into what is actually required.</t>
        </r>
      </text>
    </comment>
    <comment ref="B6" authorId="1">
      <text>
        <r>
          <rPr>
            <b/>
            <sz val="8"/>
            <color indexed="81"/>
            <rFont val="Tahoma"/>
          </rPr>
          <t>ssnaddon:</t>
        </r>
        <r>
          <rPr>
            <sz val="8"/>
            <color indexed="81"/>
            <rFont val="Tahoma"/>
          </rPr>
          <t xml:space="preserve">
Breaking down requirements investigation into conceptual/logical/physical components</t>
        </r>
      </text>
    </comment>
    <comment ref="B9" authorId="1">
      <text>
        <r>
          <rPr>
            <b/>
            <sz val="8"/>
            <color indexed="81"/>
            <rFont val="Tahoma"/>
          </rPr>
          <t>ssnaddon:</t>
        </r>
        <r>
          <rPr>
            <sz val="8"/>
            <color indexed="81"/>
            <rFont val="Tahoma"/>
          </rPr>
          <t xml:space="preserve">
This is the styling/appearance of the assembly.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D5" authorId="0">
      <text>
        <r>
          <rPr>
            <b/>
            <sz val="9"/>
            <color indexed="81"/>
            <rFont val="Tahoma"/>
            <charset val="1"/>
          </rPr>
          <t>Windows User:</t>
        </r>
        <r>
          <rPr>
            <sz val="9"/>
            <color indexed="81"/>
            <rFont val="Tahoma"/>
            <charset val="1"/>
          </rPr>
          <t xml:space="preserve">
Start Date</t>
        </r>
      </text>
    </comment>
  </commentList>
</comments>
</file>

<file path=xl/sharedStrings.xml><?xml version="1.0" encoding="utf-8"?>
<sst xmlns="http://schemas.openxmlformats.org/spreadsheetml/2006/main" count="102" uniqueCount="39">
  <si>
    <t>Owner</t>
  </si>
  <si>
    <t>Requirements</t>
  </si>
  <si>
    <t>Requirements  Analysis</t>
  </si>
  <si>
    <t>Design</t>
  </si>
  <si>
    <t>Coding + U.T</t>
  </si>
  <si>
    <t>Test Plan</t>
  </si>
  <si>
    <t xml:space="preserve">Testing + Integration </t>
  </si>
  <si>
    <t>Activity</t>
  </si>
  <si>
    <t>% of effort</t>
  </si>
  <si>
    <t>Architecture</t>
  </si>
  <si>
    <t>Date</t>
  </si>
  <si>
    <t>Planned Earned Value</t>
  </si>
  <si>
    <t>Actual Progress a/o</t>
  </si>
  <si>
    <t xml:space="preserve"> </t>
  </si>
  <si>
    <t>Actual Effort a/o</t>
  </si>
  <si>
    <t>Earned Value</t>
  </si>
  <si>
    <t>Effort Spent</t>
  </si>
  <si>
    <t>Total Planned Effort</t>
  </si>
  <si>
    <t>Person 1</t>
  </si>
  <si>
    <t>Planned Completion Date</t>
  </si>
  <si>
    <t>Percentage of Time</t>
  </si>
  <si>
    <t>End of working week is on a Friday</t>
  </si>
  <si>
    <t>% Completed</t>
  </si>
  <si>
    <t>Life Is Good</t>
  </si>
  <si>
    <t>Under Estimating</t>
  </si>
  <si>
    <t>Resource Leaks</t>
  </si>
  <si>
    <t>Over Estimating</t>
  </si>
  <si>
    <t>Sand Bagging</t>
  </si>
  <si>
    <t>Early Resource Effort</t>
  </si>
  <si>
    <t>Effort (Days)</t>
  </si>
  <si>
    <t>Publication Service</t>
  </si>
  <si>
    <t>Deadline</t>
  </si>
  <si>
    <t>Est. Effort</t>
  </si>
  <si>
    <t>Media Service</t>
  </si>
  <si>
    <t>Distribution Hub Service</t>
  </si>
  <si>
    <t>Client</t>
  </si>
  <si>
    <t>Publication DAL / Database</t>
  </si>
  <si>
    <t>Entities / Contracts</t>
  </si>
  <si>
    <t>Analysis</t>
  </si>
</sst>
</file>

<file path=xl/styles.xml><?xml version="1.0" encoding="utf-8"?>
<styleSheet xmlns="http://schemas.openxmlformats.org/spreadsheetml/2006/main">
  <numFmts count="2">
    <numFmt numFmtId="164" formatCode="[$-809]dd\ mmmm\ yyyy;@"/>
    <numFmt numFmtId="165" formatCode="0.00000"/>
  </numFmts>
  <fonts count="12">
    <font>
      <sz val="10"/>
      <name val="Arial"/>
    </font>
    <font>
      <b/>
      <sz val="10"/>
      <name val="Arial"/>
      <family val="2"/>
    </font>
    <font>
      <u/>
      <sz val="10"/>
      <color indexed="12"/>
      <name val="Arial"/>
    </font>
    <font>
      <b/>
      <sz val="10"/>
      <color indexed="12"/>
      <name val="Arial"/>
      <family val="2"/>
    </font>
    <font>
      <b/>
      <sz val="10"/>
      <color indexed="10"/>
      <name val="Arial"/>
    </font>
    <font>
      <sz val="10"/>
      <name val="Arial"/>
      <family val="2"/>
    </font>
    <font>
      <sz val="8"/>
      <color indexed="81"/>
      <name val="Tahoma"/>
    </font>
    <font>
      <b/>
      <sz val="8"/>
      <color indexed="81"/>
      <name val="Tahoma"/>
    </font>
    <font>
      <b/>
      <sz val="10"/>
      <color indexed="10"/>
      <name val="Arial"/>
      <family val="2"/>
    </font>
    <font>
      <sz val="8"/>
      <name val="Arial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0" xfId="1" applyAlignment="1" applyProtection="1"/>
    <xf numFmtId="0" fontId="0" fillId="0" borderId="0" xfId="0" applyAlignment="1">
      <alignment horizontal="left" indent="1"/>
    </xf>
    <xf numFmtId="0" fontId="3" fillId="0" borderId="0" xfId="0" applyFont="1"/>
    <xf numFmtId="14" fontId="0" fillId="0" borderId="0" xfId="0" applyNumberFormat="1"/>
    <xf numFmtId="0" fontId="0" fillId="0" borderId="0" xfId="0" applyNumberFormat="1"/>
    <xf numFmtId="0" fontId="1" fillId="0" borderId="0" xfId="0" applyFont="1" applyFill="1"/>
    <xf numFmtId="0" fontId="5" fillId="0" borderId="0" xfId="0" applyFont="1" applyFill="1"/>
    <xf numFmtId="9" fontId="5" fillId="0" borderId="0" xfId="0" applyNumberFormat="1" applyFont="1" applyFill="1"/>
    <xf numFmtId="164" fontId="5" fillId="0" borderId="0" xfId="0" applyNumberFormat="1" applyFont="1" applyFill="1"/>
    <xf numFmtId="164" fontId="0" fillId="0" borderId="0" xfId="0" applyNumberFormat="1"/>
    <xf numFmtId="0" fontId="1" fillId="0" borderId="1" xfId="0" applyFont="1" applyFill="1" applyBorder="1"/>
    <xf numFmtId="0" fontId="5" fillId="0" borderId="0" xfId="0" applyFont="1"/>
    <xf numFmtId="0" fontId="0" fillId="0" borderId="2" xfId="0" applyBorder="1"/>
    <xf numFmtId="14" fontId="8" fillId="0" borderId="0" xfId="0" applyNumberFormat="1" applyFont="1"/>
    <xf numFmtId="0" fontId="8" fillId="0" borderId="1" xfId="0" applyFont="1" applyBorder="1"/>
    <xf numFmtId="0" fontId="4" fillId="0" borderId="1" xfId="0" applyFont="1" applyBorder="1"/>
    <xf numFmtId="165" fontId="0" fillId="0" borderId="0" xfId="0" applyNumberFormat="1"/>
    <xf numFmtId="0" fontId="0" fillId="4" borderId="0" xfId="0" applyFill="1"/>
    <xf numFmtId="2" fontId="0" fillId="0" borderId="0" xfId="0" applyNumberFormat="1"/>
    <xf numFmtId="0" fontId="0" fillId="2" borderId="0" xfId="0" applyFill="1" applyAlignment="1"/>
    <xf numFmtId="0" fontId="0" fillId="3" borderId="0" xfId="0" applyFill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Earned Value Trends</a:t>
            </a:r>
          </a:p>
        </c:rich>
      </c:tx>
      <c:layout>
        <c:manualLayout>
          <c:xMode val="edge"/>
          <c:yMode val="edge"/>
          <c:x val="0.40732519422863489"/>
          <c:y val="1.957585644371941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4339622641509455E-2"/>
          <c:y val="0.10603588907014683"/>
          <c:w val="0.71920088790233061"/>
          <c:h val="0.7618270799347473"/>
        </c:manualLayout>
      </c:layout>
      <c:scatterChart>
        <c:scatterStyle val="lineMarker"/>
        <c:ser>
          <c:idx val="0"/>
          <c:order val="0"/>
          <c:tx>
            <c:v>Planned Progress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80"/>
                </a:solidFill>
                <a:prstDash val="sysDash"/>
              </a:ln>
            </c:spPr>
            <c:trendlineType val="poly"/>
            <c:order val="2"/>
          </c:trendline>
          <c:xVal>
            <c:numRef>
              <c:f>'Project Plan'!$D$5:$D$12</c:f>
              <c:numCache>
                <c:formatCode>[$-809]dd\ mmmm\ yyyy;@</c:formatCode>
                <c:ptCount val="8"/>
                <c:pt idx="0">
                  <c:v>39668</c:v>
                </c:pt>
                <c:pt idx="1">
                  <c:v>39672</c:v>
                </c:pt>
                <c:pt idx="2">
                  <c:v>39674</c:v>
                </c:pt>
                <c:pt idx="3">
                  <c:v>39678</c:v>
                </c:pt>
                <c:pt idx="4">
                  <c:v>39681</c:v>
                </c:pt>
                <c:pt idx="5">
                  <c:v>39689</c:v>
                </c:pt>
                <c:pt idx="6">
                  <c:v>39699</c:v>
                </c:pt>
                <c:pt idx="7">
                  <c:v>39702</c:v>
                </c:pt>
              </c:numCache>
            </c:numRef>
          </c:xVal>
          <c:yVal>
            <c:numRef>
              <c:f>'Project Plan'!$E$5:$E$12</c:f>
              <c:numCache>
                <c:formatCode>0%</c:formatCode>
                <c:ptCount val="8"/>
                <c:pt idx="0">
                  <c:v>0</c:v>
                </c:pt>
                <c:pt idx="1">
                  <c:v>0.12</c:v>
                </c:pt>
                <c:pt idx="2">
                  <c:v>0.2</c:v>
                </c:pt>
                <c:pt idx="3">
                  <c:v>0.28000000000000003</c:v>
                </c:pt>
                <c:pt idx="4">
                  <c:v>0.4</c:v>
                </c:pt>
                <c:pt idx="5">
                  <c:v>0.64</c:v>
                </c:pt>
                <c:pt idx="6">
                  <c:v>0.88</c:v>
                </c:pt>
                <c:pt idx="7">
                  <c:v>1</c:v>
                </c:pt>
              </c:numCache>
            </c:numRef>
          </c:yVal>
        </c:ser>
        <c:ser>
          <c:idx val="1"/>
          <c:order val="1"/>
          <c:tx>
            <c:v>Progress</c:v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00FF00"/>
                </a:solidFill>
                <a:prstDash val="sysDash"/>
              </a:ln>
            </c:spPr>
            <c:trendlineType val="linear"/>
            <c:forward val="150"/>
          </c:trendline>
          <c:xVal>
            <c:numRef>
              <c:f>'Actual Progress'!$A$3:$A$8</c:f>
              <c:numCache>
                <c:formatCode>dd/mm/yyyy</c:formatCode>
                <c:ptCount val="6"/>
                <c:pt idx="0">
                  <c:v>39668</c:v>
                </c:pt>
                <c:pt idx="1">
                  <c:v>39675</c:v>
                </c:pt>
                <c:pt idx="2">
                  <c:v>39682</c:v>
                </c:pt>
                <c:pt idx="3">
                  <c:v>39689</c:v>
                </c:pt>
                <c:pt idx="4">
                  <c:v>39696</c:v>
                </c:pt>
                <c:pt idx="5">
                  <c:v>39703</c:v>
                </c:pt>
              </c:numCache>
            </c:numRef>
          </c:xVal>
          <c:yVal>
            <c:numRef>
              <c:f>'Actual Progress'!$B$3:$B$8</c:f>
              <c:numCache>
                <c:formatCode>0%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0.52</c:v>
                </c:pt>
                <c:pt idx="4">
                  <c:v>0.64</c:v>
                </c:pt>
                <c:pt idx="5">
                  <c:v>1</c:v>
                </c:pt>
              </c:numCache>
            </c:numRef>
          </c:yVal>
        </c:ser>
        <c:ser>
          <c:idx val="2"/>
          <c:order val="2"/>
          <c:tx>
            <c:v>Effort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FF0000"/>
                </a:solidFill>
                <a:prstDash val="sysDash"/>
              </a:ln>
            </c:spPr>
            <c:trendlineType val="linear"/>
            <c:forward val="150"/>
          </c:trendline>
          <c:xVal>
            <c:numRef>
              <c:f>'Actual Progress'!$A$3:$A$8</c:f>
              <c:numCache>
                <c:formatCode>dd/mm/yyyy</c:formatCode>
                <c:ptCount val="6"/>
                <c:pt idx="0">
                  <c:v>39668</c:v>
                </c:pt>
                <c:pt idx="1">
                  <c:v>39675</c:v>
                </c:pt>
                <c:pt idx="2">
                  <c:v>39682</c:v>
                </c:pt>
                <c:pt idx="3">
                  <c:v>39689</c:v>
                </c:pt>
                <c:pt idx="4">
                  <c:v>39696</c:v>
                </c:pt>
                <c:pt idx="5">
                  <c:v>39703</c:v>
                </c:pt>
              </c:numCache>
            </c:numRef>
          </c:xVal>
          <c:yVal>
            <c:numRef>
              <c:f>'Actual Progress'!$C$3:$C$8</c:f>
              <c:numCache>
                <c:formatCode>0%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0.68</c:v>
                </c:pt>
                <c:pt idx="4">
                  <c:v>0.92</c:v>
                </c:pt>
                <c:pt idx="5">
                  <c:v>1.1600000000000001</c:v>
                </c:pt>
              </c:numCache>
            </c:numRef>
          </c:yVal>
        </c:ser>
        <c:axId val="69955584"/>
        <c:axId val="69957504"/>
      </c:scatterChart>
      <c:valAx>
        <c:axId val="69955584"/>
        <c:scaling>
          <c:orientation val="minMax"/>
          <c:max val="39715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3618201997780259"/>
              <c:y val="0.91680261011419273"/>
            </c:manualLayout>
          </c:layout>
          <c:spPr>
            <a:noFill/>
            <a:ln w="25400">
              <a:noFill/>
            </a:ln>
          </c:spPr>
        </c:title>
        <c:numFmt formatCode="dd/mm/yy;@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957504"/>
        <c:crosses val="autoZero"/>
        <c:crossBetween val="midCat"/>
      </c:valAx>
      <c:valAx>
        <c:axId val="69957504"/>
        <c:scaling>
          <c:orientation val="minMax"/>
          <c:max val="1.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</a:t>
                </a:r>
              </a:p>
            </c:rich>
          </c:tx>
          <c:layout>
            <c:manualLayout>
              <c:xMode val="edge"/>
              <c:yMode val="edge"/>
              <c:x val="1.8867924528301886E-2"/>
              <c:y val="0.47471451876019577"/>
            </c:manualLayout>
          </c:layout>
          <c:spPr>
            <a:noFill/>
            <a:ln w="25400">
              <a:noFill/>
            </a:ln>
          </c:spPr>
        </c:title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955584"/>
        <c:crossesAt val="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47582554407856"/>
          <c:y val="1.355850255560161E-2"/>
          <c:w val="0.21864594894561595"/>
          <c:h val="0.2071778140293637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gradFill rotWithShape="0">
      <a:gsLst>
        <a:gs pos="0">
          <a:srgbClr val="FFFFFF"/>
        </a:gs>
        <a:gs pos="100000">
          <a:srgbClr val="FFFFFF">
            <a:gamma/>
            <a:tint val="0"/>
            <a:invGamma/>
          </a:srgbClr>
        </a:gs>
      </a:gsLst>
      <a:lin ang="5400000" scaled="1"/>
    </a:gra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workbookViewId="0"/>
  </sheetViews>
  <pageMargins left="0.75" right="0.75" top="1" bottom="1" header="0.5" footer="0.5"/>
  <pageSetup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53450" cy="57912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104775</xdr:rowOff>
    </xdr:from>
    <xdr:to>
      <xdr:col>8</xdr:col>
      <xdr:colOff>600075</xdr:colOff>
      <xdr:row>1</xdr:row>
      <xdr:rowOff>114300</xdr:rowOff>
    </xdr:to>
    <xdr:sp macro="" textlink="">
      <xdr:nvSpPr>
        <xdr:cNvPr id="2129" name="Line 4"/>
        <xdr:cNvSpPr>
          <a:spLocks noChangeShapeType="1"/>
        </xdr:cNvSpPr>
      </xdr:nvSpPr>
      <xdr:spPr bwMode="auto">
        <a:xfrm flipH="1">
          <a:off x="4876800" y="266700"/>
          <a:ext cx="600075" cy="9525"/>
        </a:xfrm>
        <a:prstGeom prst="line">
          <a:avLst/>
        </a:prstGeom>
        <a:noFill/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8</xdr:col>
      <xdr:colOff>19050</xdr:colOff>
      <xdr:row>3</xdr:row>
      <xdr:rowOff>85725</xdr:rowOff>
    </xdr:from>
    <xdr:to>
      <xdr:col>8</xdr:col>
      <xdr:colOff>590550</xdr:colOff>
      <xdr:row>3</xdr:row>
      <xdr:rowOff>85725</xdr:rowOff>
    </xdr:to>
    <xdr:sp macro="" textlink="">
      <xdr:nvSpPr>
        <xdr:cNvPr id="2130" name="Line 5"/>
        <xdr:cNvSpPr>
          <a:spLocks noChangeShapeType="1"/>
        </xdr:cNvSpPr>
      </xdr:nvSpPr>
      <xdr:spPr bwMode="auto">
        <a:xfrm flipH="1" flipV="1">
          <a:off x="4895850" y="571500"/>
          <a:ext cx="571500" cy="0"/>
        </a:xfrm>
        <a:prstGeom prst="line">
          <a:avLst/>
        </a:prstGeom>
        <a:noFill/>
        <a:ln w="19050">
          <a:solidFill>
            <a:srgbClr val="00FF00"/>
          </a:solidFill>
          <a:round/>
          <a:headEnd/>
          <a:tailEnd/>
        </a:ln>
      </xdr:spPr>
    </xdr:sp>
    <xdr:clientData/>
  </xdr:twoCellAnchor>
  <xdr:twoCellAnchor>
    <xdr:from>
      <xdr:col>8</xdr:col>
      <xdr:colOff>19050</xdr:colOff>
      <xdr:row>5</xdr:row>
      <xdr:rowOff>85725</xdr:rowOff>
    </xdr:from>
    <xdr:to>
      <xdr:col>9</xdr:col>
      <xdr:colOff>0</xdr:colOff>
      <xdr:row>5</xdr:row>
      <xdr:rowOff>95250</xdr:rowOff>
    </xdr:to>
    <xdr:sp macro="" textlink="">
      <xdr:nvSpPr>
        <xdr:cNvPr id="2131" name="Line 6"/>
        <xdr:cNvSpPr>
          <a:spLocks noChangeShapeType="1"/>
        </xdr:cNvSpPr>
      </xdr:nvSpPr>
      <xdr:spPr bwMode="auto">
        <a:xfrm flipH="1" flipV="1">
          <a:off x="4895850" y="895350"/>
          <a:ext cx="590550" cy="9525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1</xdr:row>
      <xdr:rowOff>19050</xdr:rowOff>
    </xdr:from>
    <xdr:to>
      <xdr:col>11</xdr:col>
      <xdr:colOff>276225</xdr:colOff>
      <xdr:row>2</xdr:row>
      <xdr:rowOff>9525</xdr:rowOff>
    </xdr:to>
    <xdr:sp macro="" textlink="">
      <xdr:nvSpPr>
        <xdr:cNvPr id="2056" name="Text Box 8"/>
        <xdr:cNvSpPr txBox="1">
          <a:spLocks noChangeArrowheads="1"/>
        </xdr:cNvSpPr>
      </xdr:nvSpPr>
      <xdr:spPr bwMode="auto">
        <a:xfrm>
          <a:off x="5495925" y="180975"/>
          <a:ext cx="1485900" cy="152400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80"/>
              </a:solidFill>
              <a:latin typeface="Arial"/>
              <a:cs typeface="Arial"/>
            </a:rPr>
            <a:t>Planned Progress</a:t>
          </a:r>
        </a:p>
      </xdr:txBody>
    </xdr:sp>
    <xdr:clientData/>
  </xdr:twoCellAnchor>
  <xdr:twoCellAnchor>
    <xdr:from>
      <xdr:col>9</xdr:col>
      <xdr:colOff>0</xdr:colOff>
      <xdr:row>2</xdr:row>
      <xdr:rowOff>152400</xdr:rowOff>
    </xdr:from>
    <xdr:to>
      <xdr:col>11</xdr:col>
      <xdr:colOff>266700</xdr:colOff>
      <xdr:row>4</xdr:row>
      <xdr:rowOff>9525</xdr:rowOff>
    </xdr:to>
    <xdr:sp macro="" textlink="">
      <xdr:nvSpPr>
        <xdr:cNvPr id="2057" name="Text Box 9"/>
        <xdr:cNvSpPr txBox="1">
          <a:spLocks noChangeArrowheads="1"/>
        </xdr:cNvSpPr>
      </xdr:nvSpPr>
      <xdr:spPr bwMode="auto">
        <a:xfrm>
          <a:off x="5486400" y="476250"/>
          <a:ext cx="1485900" cy="18097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FF00"/>
              </a:solidFill>
              <a:latin typeface="Arial"/>
              <a:cs typeface="Arial"/>
            </a:rPr>
            <a:t>Actual Progress</a:t>
          </a:r>
        </a:p>
      </xdr:txBody>
    </xdr:sp>
    <xdr:clientData/>
  </xdr:twoCellAnchor>
  <xdr:twoCellAnchor>
    <xdr:from>
      <xdr:col>9</xdr:col>
      <xdr:colOff>9525</xdr:colOff>
      <xdr:row>5</xdr:row>
      <xdr:rowOff>0</xdr:rowOff>
    </xdr:from>
    <xdr:to>
      <xdr:col>11</xdr:col>
      <xdr:colOff>276225</xdr:colOff>
      <xdr:row>6</xdr:row>
      <xdr:rowOff>9525</xdr:rowOff>
    </xdr:to>
    <xdr:sp macro="" textlink="">
      <xdr:nvSpPr>
        <xdr:cNvPr id="2058" name="Text Box 10"/>
        <xdr:cNvSpPr txBox="1">
          <a:spLocks noChangeArrowheads="1"/>
        </xdr:cNvSpPr>
      </xdr:nvSpPr>
      <xdr:spPr bwMode="auto">
        <a:xfrm>
          <a:off x="5495925" y="809625"/>
          <a:ext cx="1485900" cy="171450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00"/>
              </a:solidFill>
              <a:latin typeface="Arial"/>
              <a:cs typeface="Arial"/>
            </a:rPr>
            <a:t>Actual Effort</a:t>
          </a:r>
        </a:p>
      </xdr:txBody>
    </xdr:sp>
    <xdr:clientData/>
  </xdr:twoCellAnchor>
  <xdr:twoCellAnchor>
    <xdr:from>
      <xdr:col>1</xdr:col>
      <xdr:colOff>600075</xdr:colOff>
      <xdr:row>2</xdr:row>
      <xdr:rowOff>9525</xdr:rowOff>
    </xdr:from>
    <xdr:to>
      <xdr:col>3</xdr:col>
      <xdr:colOff>600075</xdr:colOff>
      <xdr:row>6</xdr:row>
      <xdr:rowOff>9525</xdr:rowOff>
    </xdr:to>
    <xdr:sp macro="" textlink="">
      <xdr:nvSpPr>
        <xdr:cNvPr id="2135" name="Line 14"/>
        <xdr:cNvSpPr>
          <a:spLocks noChangeShapeType="1"/>
        </xdr:cNvSpPr>
      </xdr:nvSpPr>
      <xdr:spPr bwMode="auto">
        <a:xfrm flipH="1">
          <a:off x="1209675" y="333375"/>
          <a:ext cx="1219200" cy="647700"/>
        </a:xfrm>
        <a:prstGeom prst="line">
          <a:avLst/>
        </a:prstGeom>
        <a:noFill/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</xdr:row>
      <xdr:rowOff>57150</xdr:rowOff>
    </xdr:from>
    <xdr:to>
      <xdr:col>4</xdr:col>
      <xdr:colOff>0</xdr:colOff>
      <xdr:row>6</xdr:row>
      <xdr:rowOff>57150</xdr:rowOff>
    </xdr:to>
    <xdr:sp macro="" textlink="">
      <xdr:nvSpPr>
        <xdr:cNvPr id="2136" name="Line 15"/>
        <xdr:cNvSpPr>
          <a:spLocks noChangeShapeType="1"/>
        </xdr:cNvSpPr>
      </xdr:nvSpPr>
      <xdr:spPr bwMode="auto">
        <a:xfrm flipH="1">
          <a:off x="1219200" y="381000"/>
          <a:ext cx="1219200" cy="647700"/>
        </a:xfrm>
        <a:prstGeom prst="line">
          <a:avLst/>
        </a:prstGeom>
        <a:noFill/>
        <a:ln w="19050">
          <a:solidFill>
            <a:srgbClr val="00FF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600075</xdr:colOff>
      <xdr:row>6</xdr:row>
      <xdr:rowOff>114300</xdr:rowOff>
    </xdr:to>
    <xdr:sp macro="" textlink="">
      <xdr:nvSpPr>
        <xdr:cNvPr id="2137" name="Line 16"/>
        <xdr:cNvSpPr>
          <a:spLocks noChangeShapeType="1"/>
        </xdr:cNvSpPr>
      </xdr:nvSpPr>
      <xdr:spPr bwMode="auto">
        <a:xfrm flipH="1">
          <a:off x="1219200" y="438150"/>
          <a:ext cx="1209675" cy="6477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</xdr:colOff>
      <xdr:row>9</xdr:row>
      <xdr:rowOff>0</xdr:rowOff>
    </xdr:from>
    <xdr:to>
      <xdr:col>4</xdr:col>
      <xdr:colOff>0</xdr:colOff>
      <xdr:row>14</xdr:row>
      <xdr:rowOff>114300</xdr:rowOff>
    </xdr:to>
    <xdr:sp macro="" textlink="">
      <xdr:nvSpPr>
        <xdr:cNvPr id="2138" name="Line 18"/>
        <xdr:cNvSpPr>
          <a:spLocks noChangeShapeType="1"/>
        </xdr:cNvSpPr>
      </xdr:nvSpPr>
      <xdr:spPr bwMode="auto">
        <a:xfrm flipH="1">
          <a:off x="1238250" y="1457325"/>
          <a:ext cx="1200150" cy="923925"/>
        </a:xfrm>
        <a:prstGeom prst="line">
          <a:avLst/>
        </a:prstGeom>
        <a:noFill/>
        <a:ln w="19050">
          <a:solidFill>
            <a:srgbClr val="00FF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13</xdr:row>
      <xdr:rowOff>0</xdr:rowOff>
    </xdr:from>
    <xdr:to>
      <xdr:col>4</xdr:col>
      <xdr:colOff>0</xdr:colOff>
      <xdr:row>15</xdr:row>
      <xdr:rowOff>57150</xdr:rowOff>
    </xdr:to>
    <xdr:sp macro="" textlink="">
      <xdr:nvSpPr>
        <xdr:cNvPr id="2139" name="Line 19"/>
        <xdr:cNvSpPr>
          <a:spLocks noChangeShapeType="1"/>
        </xdr:cNvSpPr>
      </xdr:nvSpPr>
      <xdr:spPr bwMode="auto">
        <a:xfrm flipH="1">
          <a:off x="1228725" y="2105025"/>
          <a:ext cx="1209675" cy="3810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17</xdr:row>
      <xdr:rowOff>0</xdr:rowOff>
    </xdr:from>
    <xdr:to>
      <xdr:col>3</xdr:col>
      <xdr:colOff>600075</xdr:colOff>
      <xdr:row>20</xdr:row>
      <xdr:rowOff>152400</xdr:rowOff>
    </xdr:to>
    <xdr:sp macro="" textlink="">
      <xdr:nvSpPr>
        <xdr:cNvPr id="2140" name="Line 20"/>
        <xdr:cNvSpPr>
          <a:spLocks noChangeShapeType="1"/>
        </xdr:cNvSpPr>
      </xdr:nvSpPr>
      <xdr:spPr bwMode="auto">
        <a:xfrm flipH="1">
          <a:off x="1228725" y="2752725"/>
          <a:ext cx="1200150" cy="638175"/>
        </a:xfrm>
        <a:prstGeom prst="line">
          <a:avLst/>
        </a:prstGeom>
        <a:noFill/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21</xdr:row>
      <xdr:rowOff>0</xdr:rowOff>
    </xdr:from>
    <xdr:to>
      <xdr:col>4</xdr:col>
      <xdr:colOff>0</xdr:colOff>
      <xdr:row>21</xdr:row>
      <xdr:rowOff>76200</xdr:rowOff>
    </xdr:to>
    <xdr:sp macro="" textlink="">
      <xdr:nvSpPr>
        <xdr:cNvPr id="2141" name="Line 21"/>
        <xdr:cNvSpPr>
          <a:spLocks noChangeShapeType="1"/>
        </xdr:cNvSpPr>
      </xdr:nvSpPr>
      <xdr:spPr bwMode="auto">
        <a:xfrm flipH="1">
          <a:off x="1247775" y="3400425"/>
          <a:ext cx="1190625" cy="76200"/>
        </a:xfrm>
        <a:prstGeom prst="line">
          <a:avLst/>
        </a:prstGeom>
        <a:noFill/>
        <a:ln w="19050">
          <a:solidFill>
            <a:srgbClr val="00FF00"/>
          </a:solidFill>
          <a:round/>
          <a:headEnd/>
          <a:tailEnd/>
        </a:ln>
      </xdr:spPr>
    </xdr:sp>
    <xdr:clientData/>
  </xdr:twoCellAnchor>
  <xdr:twoCellAnchor>
    <xdr:from>
      <xdr:col>2</xdr:col>
      <xdr:colOff>19050</xdr:colOff>
      <xdr:row>18</xdr:row>
      <xdr:rowOff>152400</xdr:rowOff>
    </xdr:from>
    <xdr:to>
      <xdr:col>4</xdr:col>
      <xdr:colOff>0</xdr:colOff>
      <xdr:row>21</xdr:row>
      <xdr:rowOff>28575</xdr:rowOff>
    </xdr:to>
    <xdr:sp macro="" textlink="">
      <xdr:nvSpPr>
        <xdr:cNvPr id="2142" name="Line 22"/>
        <xdr:cNvSpPr>
          <a:spLocks noChangeShapeType="1"/>
        </xdr:cNvSpPr>
      </xdr:nvSpPr>
      <xdr:spPr bwMode="auto">
        <a:xfrm flipH="1">
          <a:off x="1238250" y="3067050"/>
          <a:ext cx="1200150" cy="36195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27</xdr:row>
      <xdr:rowOff>0</xdr:rowOff>
    </xdr:from>
    <xdr:to>
      <xdr:col>4</xdr:col>
      <xdr:colOff>9525</xdr:colOff>
      <xdr:row>29</xdr:row>
      <xdr:rowOff>0</xdr:rowOff>
    </xdr:to>
    <xdr:sp macro="" textlink="">
      <xdr:nvSpPr>
        <xdr:cNvPr id="2143" name="Line 23"/>
        <xdr:cNvSpPr>
          <a:spLocks noChangeShapeType="1"/>
        </xdr:cNvSpPr>
      </xdr:nvSpPr>
      <xdr:spPr bwMode="auto">
        <a:xfrm flipH="1">
          <a:off x="1209675" y="4371975"/>
          <a:ext cx="1238250" cy="323850"/>
        </a:xfrm>
        <a:prstGeom prst="line">
          <a:avLst/>
        </a:prstGeom>
        <a:noFill/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25</xdr:row>
      <xdr:rowOff>0</xdr:rowOff>
    </xdr:from>
    <xdr:to>
      <xdr:col>4</xdr:col>
      <xdr:colOff>19050</xdr:colOff>
      <xdr:row>28</xdr:row>
      <xdr:rowOff>0</xdr:rowOff>
    </xdr:to>
    <xdr:sp macro="" textlink="">
      <xdr:nvSpPr>
        <xdr:cNvPr id="2144" name="Line 24"/>
        <xdr:cNvSpPr>
          <a:spLocks noChangeShapeType="1"/>
        </xdr:cNvSpPr>
      </xdr:nvSpPr>
      <xdr:spPr bwMode="auto">
        <a:xfrm flipH="1">
          <a:off x="1228725" y="4048125"/>
          <a:ext cx="1228725" cy="485775"/>
        </a:xfrm>
        <a:prstGeom prst="line">
          <a:avLst/>
        </a:prstGeom>
        <a:noFill/>
        <a:ln w="19050">
          <a:solidFill>
            <a:srgbClr val="00FF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2145" name="Line 25"/>
        <xdr:cNvSpPr>
          <a:spLocks noChangeShapeType="1"/>
        </xdr:cNvSpPr>
      </xdr:nvSpPr>
      <xdr:spPr bwMode="auto">
        <a:xfrm flipH="1">
          <a:off x="1219200" y="3724275"/>
          <a:ext cx="1219200" cy="6477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</xdr:row>
      <xdr:rowOff>133350</xdr:rowOff>
    </xdr:from>
    <xdr:to>
      <xdr:col>4</xdr:col>
      <xdr:colOff>0</xdr:colOff>
      <xdr:row>36</xdr:row>
      <xdr:rowOff>0</xdr:rowOff>
    </xdr:to>
    <xdr:sp macro="" textlink="">
      <xdr:nvSpPr>
        <xdr:cNvPr id="2146" name="Line 26"/>
        <xdr:cNvSpPr>
          <a:spLocks noChangeShapeType="1"/>
        </xdr:cNvSpPr>
      </xdr:nvSpPr>
      <xdr:spPr bwMode="auto">
        <a:xfrm flipH="1">
          <a:off x="1209675" y="5314950"/>
          <a:ext cx="1228725" cy="514350"/>
        </a:xfrm>
        <a:prstGeom prst="line">
          <a:avLst/>
        </a:prstGeom>
        <a:noFill/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31</xdr:row>
      <xdr:rowOff>0</xdr:rowOff>
    </xdr:from>
    <xdr:to>
      <xdr:col>4</xdr:col>
      <xdr:colOff>0</xdr:colOff>
      <xdr:row>34</xdr:row>
      <xdr:rowOff>133350</xdr:rowOff>
    </xdr:to>
    <xdr:sp macro="" textlink="">
      <xdr:nvSpPr>
        <xdr:cNvPr id="2147" name="Line 27"/>
        <xdr:cNvSpPr>
          <a:spLocks noChangeShapeType="1"/>
        </xdr:cNvSpPr>
      </xdr:nvSpPr>
      <xdr:spPr bwMode="auto">
        <a:xfrm flipH="1">
          <a:off x="1228725" y="5019675"/>
          <a:ext cx="1209675" cy="619125"/>
        </a:xfrm>
        <a:prstGeom prst="line">
          <a:avLst/>
        </a:prstGeom>
        <a:noFill/>
        <a:ln w="19050">
          <a:solidFill>
            <a:srgbClr val="00FF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35</xdr:row>
      <xdr:rowOff>0</xdr:rowOff>
    </xdr:from>
    <xdr:to>
      <xdr:col>3</xdr:col>
      <xdr:colOff>600075</xdr:colOff>
      <xdr:row>37</xdr:row>
      <xdr:rowOff>0</xdr:rowOff>
    </xdr:to>
    <xdr:sp macro="" textlink="">
      <xdr:nvSpPr>
        <xdr:cNvPr id="2148" name="Line 28"/>
        <xdr:cNvSpPr>
          <a:spLocks noChangeShapeType="1"/>
        </xdr:cNvSpPr>
      </xdr:nvSpPr>
      <xdr:spPr bwMode="auto">
        <a:xfrm flipH="1">
          <a:off x="1209675" y="5667375"/>
          <a:ext cx="1219200" cy="32385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40</xdr:row>
      <xdr:rowOff>66675</xdr:rowOff>
    </xdr:from>
    <xdr:to>
      <xdr:col>4</xdr:col>
      <xdr:colOff>0</xdr:colOff>
      <xdr:row>43</xdr:row>
      <xdr:rowOff>57150</xdr:rowOff>
    </xdr:to>
    <xdr:sp macro="" textlink="">
      <xdr:nvSpPr>
        <xdr:cNvPr id="2149" name="Line 29"/>
        <xdr:cNvSpPr>
          <a:spLocks noChangeShapeType="1"/>
        </xdr:cNvSpPr>
      </xdr:nvSpPr>
      <xdr:spPr bwMode="auto">
        <a:xfrm flipH="1">
          <a:off x="1228725" y="6543675"/>
          <a:ext cx="1209675" cy="476250"/>
        </a:xfrm>
        <a:prstGeom prst="line">
          <a:avLst/>
        </a:prstGeom>
        <a:noFill/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40</xdr:row>
      <xdr:rowOff>104775</xdr:rowOff>
    </xdr:from>
    <xdr:to>
      <xdr:col>4</xdr:col>
      <xdr:colOff>9525</xdr:colOff>
      <xdr:row>43</xdr:row>
      <xdr:rowOff>104775</xdr:rowOff>
    </xdr:to>
    <xdr:sp macro="" textlink="">
      <xdr:nvSpPr>
        <xdr:cNvPr id="2150" name="Line 30"/>
        <xdr:cNvSpPr>
          <a:spLocks noChangeShapeType="1"/>
        </xdr:cNvSpPr>
      </xdr:nvSpPr>
      <xdr:spPr bwMode="auto">
        <a:xfrm flipH="1">
          <a:off x="1219200" y="6581775"/>
          <a:ext cx="1228725" cy="485775"/>
        </a:xfrm>
        <a:prstGeom prst="line">
          <a:avLst/>
        </a:prstGeom>
        <a:noFill/>
        <a:ln w="19050">
          <a:solidFill>
            <a:srgbClr val="00FF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39</xdr:row>
      <xdr:rowOff>0</xdr:rowOff>
    </xdr:from>
    <xdr:to>
      <xdr:col>4</xdr:col>
      <xdr:colOff>0</xdr:colOff>
      <xdr:row>42</xdr:row>
      <xdr:rowOff>152400</xdr:rowOff>
    </xdr:to>
    <xdr:sp macro="" textlink="">
      <xdr:nvSpPr>
        <xdr:cNvPr id="2151" name="Line 31"/>
        <xdr:cNvSpPr>
          <a:spLocks noChangeShapeType="1"/>
        </xdr:cNvSpPr>
      </xdr:nvSpPr>
      <xdr:spPr bwMode="auto">
        <a:xfrm flipH="1">
          <a:off x="1219200" y="6315075"/>
          <a:ext cx="1219200" cy="638175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11</xdr:row>
      <xdr:rowOff>9525</xdr:rowOff>
    </xdr:from>
    <xdr:to>
      <xdr:col>4</xdr:col>
      <xdr:colOff>0</xdr:colOff>
      <xdr:row>15</xdr:row>
      <xdr:rowOff>9525</xdr:rowOff>
    </xdr:to>
    <xdr:sp macro="" textlink="">
      <xdr:nvSpPr>
        <xdr:cNvPr id="2152" name="Line 32"/>
        <xdr:cNvSpPr>
          <a:spLocks noChangeShapeType="1"/>
        </xdr:cNvSpPr>
      </xdr:nvSpPr>
      <xdr:spPr bwMode="auto">
        <a:xfrm flipH="1">
          <a:off x="1219200" y="1790700"/>
          <a:ext cx="1219200" cy="647700"/>
        </a:xfrm>
        <a:prstGeom prst="line">
          <a:avLst/>
        </a:prstGeom>
        <a:noFill/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5</xdr:col>
      <xdr:colOff>600075</xdr:colOff>
      <xdr:row>10</xdr:row>
      <xdr:rowOff>0</xdr:rowOff>
    </xdr:from>
    <xdr:to>
      <xdr:col>13</xdr:col>
      <xdr:colOff>219075</xdr:colOff>
      <xdr:row>21</xdr:row>
      <xdr:rowOff>142875</xdr:rowOff>
    </xdr:to>
    <xdr:sp macro="" textlink="">
      <xdr:nvSpPr>
        <xdr:cNvPr id="26" name="TextBox 25"/>
        <xdr:cNvSpPr txBox="1"/>
      </xdr:nvSpPr>
      <xdr:spPr>
        <a:xfrm>
          <a:off x="3648075" y="1619250"/>
          <a:ext cx="4495800" cy="1924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/>
            <a:t>In general the project went well, although I put in a lot more hours than initially planned in the middle of the project.  This was mainly due to refactoring the solution</a:t>
          </a:r>
          <a:r>
            <a:rPr lang="en-GB" sz="1100" baseline="0"/>
            <a:t> from a few core assemblies into multiple assemblies adhering to the iDesign methodology.</a:t>
          </a:r>
        </a:p>
        <a:p>
          <a:endParaRPr lang="en-GB" sz="1100" baseline="0"/>
        </a:p>
        <a:p>
          <a:r>
            <a:rPr lang="en-GB" sz="1100" baseline="0"/>
            <a:t>I also refactored the code to use the WcfWrapper in January.  This technique is going to go a long way towards introducing people to the benefits of in-proc hosting.</a:t>
          </a:r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I2986"/>
  <sheetViews>
    <sheetView tabSelected="1" zoomScale="70" workbookViewId="0">
      <pane xSplit="4965" topLeftCell="F1"/>
      <selection activeCell="B19" sqref="B19"/>
      <selection pane="topRight" activeCell="Z67" sqref="Z67"/>
    </sheetView>
  </sheetViews>
  <sheetFormatPr defaultRowHeight="12.75"/>
  <cols>
    <col min="2" max="2" width="30.5703125" customWidth="1"/>
    <col min="3" max="3" width="12.5703125" bestFit="1" customWidth="1"/>
    <col min="4" max="4" width="10.140625" bestFit="1" customWidth="1"/>
    <col min="5" max="5" width="2.140625" style="23" customWidth="1"/>
    <col min="6" max="6" width="19.5703125" bestFit="1" customWidth="1"/>
    <col min="7" max="7" width="2.42578125" customWidth="1"/>
    <col min="8" max="8" width="14.42578125" bestFit="1" customWidth="1"/>
    <col min="9" max="9" width="0.85546875" style="22" customWidth="1"/>
    <col min="10" max="10" width="17.85546875" customWidth="1"/>
    <col min="11" max="11" width="2.85546875" customWidth="1"/>
    <col min="12" max="12" width="14.42578125" bestFit="1" customWidth="1"/>
    <col min="13" max="13" width="0.85546875" style="22" customWidth="1"/>
    <col min="14" max="14" width="18.5703125" customWidth="1"/>
    <col min="15" max="15" width="2" customWidth="1"/>
    <col min="16" max="16" width="14.42578125" bestFit="1" customWidth="1"/>
    <col min="17" max="17" width="0.85546875" style="22" customWidth="1"/>
    <col min="18" max="18" width="17.7109375" bestFit="1" customWidth="1"/>
    <col min="19" max="19" width="3.42578125" bestFit="1" customWidth="1"/>
    <col min="20" max="20" width="14.42578125" bestFit="1" customWidth="1"/>
    <col min="21" max="21" width="1.140625" style="20" customWidth="1"/>
    <col min="22" max="22" width="17.7109375" bestFit="1" customWidth="1"/>
    <col min="23" max="23" width="3.42578125" bestFit="1" customWidth="1"/>
    <col min="24" max="24" width="14.42578125" bestFit="1" customWidth="1"/>
    <col min="25" max="25" width="0.85546875" style="20" customWidth="1"/>
    <col min="26" max="26" width="17.7109375" bestFit="1" customWidth="1"/>
    <col min="27" max="27" width="3.42578125" bestFit="1" customWidth="1"/>
    <col min="28" max="28" width="14.42578125" bestFit="1" customWidth="1"/>
    <col min="29" max="29" width="0.85546875" style="20" customWidth="1"/>
    <col min="30" max="30" width="17.7109375" bestFit="1" customWidth="1"/>
    <col min="31" max="31" width="3.42578125" bestFit="1" customWidth="1"/>
    <col min="32" max="32" width="14.42578125" bestFit="1" customWidth="1"/>
  </cols>
  <sheetData>
    <row r="2" spans="1:32">
      <c r="F2" s="1" t="s">
        <v>12</v>
      </c>
      <c r="G2" s="1"/>
      <c r="H2" s="1" t="s">
        <v>14</v>
      </c>
      <c r="J2" s="1" t="s">
        <v>12</v>
      </c>
      <c r="K2" s="1"/>
      <c r="L2" s="1" t="s">
        <v>14</v>
      </c>
      <c r="N2" s="1" t="s">
        <v>12</v>
      </c>
      <c r="O2" s="1"/>
      <c r="P2" s="1" t="s">
        <v>14</v>
      </c>
      <c r="R2" s="1" t="s">
        <v>12</v>
      </c>
      <c r="S2" s="1"/>
      <c r="T2" s="1" t="s">
        <v>14</v>
      </c>
      <c r="V2" s="1" t="s">
        <v>12</v>
      </c>
      <c r="W2" s="1"/>
      <c r="X2" s="1" t="s">
        <v>14</v>
      </c>
      <c r="Z2" s="1" t="s">
        <v>12</v>
      </c>
      <c r="AA2" s="1"/>
      <c r="AB2" s="1" t="s">
        <v>14</v>
      </c>
      <c r="AD2" s="1" t="s">
        <v>12</v>
      </c>
      <c r="AE2" s="1"/>
      <c r="AF2" s="1" t="s">
        <v>14</v>
      </c>
    </row>
    <row r="3" spans="1:32">
      <c r="A3" s="17" t="s">
        <v>0</v>
      </c>
      <c r="B3" s="18" t="s">
        <v>7</v>
      </c>
      <c r="C3" s="17" t="s">
        <v>32</v>
      </c>
      <c r="D3" s="17" t="s">
        <v>8</v>
      </c>
      <c r="F3" s="16">
        <f>'Project Plan'!D5</f>
        <v>39668</v>
      </c>
      <c r="G3" s="16"/>
      <c r="H3" s="16">
        <f>F3</f>
        <v>39668</v>
      </c>
      <c r="J3" s="16">
        <f>F3+7</f>
        <v>39675</v>
      </c>
      <c r="K3" s="16"/>
      <c r="L3" s="16">
        <f>J3</f>
        <v>39675</v>
      </c>
      <c r="N3" s="16">
        <f>J3+7</f>
        <v>39682</v>
      </c>
      <c r="O3" s="16"/>
      <c r="P3" s="16">
        <f>N3</f>
        <v>39682</v>
      </c>
      <c r="R3" s="16">
        <f>N3+7</f>
        <v>39689</v>
      </c>
      <c r="S3" s="16"/>
      <c r="T3" s="16">
        <f>R3</f>
        <v>39689</v>
      </c>
      <c r="V3" s="16">
        <f>R3+7</f>
        <v>39696</v>
      </c>
      <c r="W3" s="16"/>
      <c r="X3" s="16">
        <f>V3</f>
        <v>39696</v>
      </c>
      <c r="Z3" s="16">
        <f>V3+7</f>
        <v>39703</v>
      </c>
      <c r="AA3" s="16"/>
      <c r="AB3" s="16">
        <f>Z3</f>
        <v>39703</v>
      </c>
      <c r="AD3" s="16">
        <f>Z3+7</f>
        <v>39710</v>
      </c>
      <c r="AE3" s="16"/>
      <c r="AF3" s="16">
        <f>AD3</f>
        <v>39710</v>
      </c>
    </row>
    <row r="4" spans="1:32">
      <c r="A4" t="s">
        <v>18</v>
      </c>
      <c r="B4" s="1" t="s">
        <v>9</v>
      </c>
      <c r="C4">
        <f>SUM(C5:C11)</f>
        <v>3</v>
      </c>
      <c r="D4" s="2">
        <f>SUM(D5:D11)</f>
        <v>1</v>
      </c>
      <c r="F4" s="7"/>
      <c r="J4" s="7"/>
    </row>
    <row r="5" spans="1:32">
      <c r="B5" s="4" t="s">
        <v>1</v>
      </c>
      <c r="C5">
        <v>1</v>
      </c>
      <c r="D5" s="2">
        <f>IF(C4=0,0,C5/C4)</f>
        <v>0.33333333333333331</v>
      </c>
      <c r="F5" s="7">
        <v>0</v>
      </c>
      <c r="J5" s="7">
        <v>1</v>
      </c>
      <c r="L5">
        <v>1</v>
      </c>
      <c r="N5">
        <f>J5</f>
        <v>1</v>
      </c>
      <c r="R5">
        <f>N5</f>
        <v>1</v>
      </c>
      <c r="V5">
        <f>R5</f>
        <v>1</v>
      </c>
      <c r="Z5">
        <f>V5</f>
        <v>1</v>
      </c>
      <c r="AD5">
        <f>Z5</f>
        <v>1</v>
      </c>
    </row>
    <row r="6" spans="1:32">
      <c r="B6" s="4" t="s">
        <v>2</v>
      </c>
      <c r="C6">
        <v>1</v>
      </c>
      <c r="D6" s="2">
        <f>IF(C4=0,0,C6/C4)</f>
        <v>0.33333333333333331</v>
      </c>
      <c r="F6" s="7">
        <v>0</v>
      </c>
      <c r="J6" s="7">
        <v>1</v>
      </c>
      <c r="L6">
        <v>1</v>
      </c>
      <c r="N6">
        <f t="shared" ref="N6:N11" si="0">J6</f>
        <v>1</v>
      </c>
      <c r="R6">
        <f t="shared" ref="R6:R11" si="1">N6</f>
        <v>1</v>
      </c>
      <c r="V6">
        <f t="shared" ref="V6:V11" si="2">R6</f>
        <v>1</v>
      </c>
      <c r="Z6">
        <f t="shared" ref="Z6:Z11" si="3">V6</f>
        <v>1</v>
      </c>
      <c r="AD6">
        <f t="shared" ref="AD6:AD11" si="4">Z6</f>
        <v>1</v>
      </c>
    </row>
    <row r="7" spans="1:32">
      <c r="B7" s="4" t="s">
        <v>5</v>
      </c>
      <c r="C7">
        <v>0</v>
      </c>
      <c r="D7" s="2">
        <f>IF(C4=0,0,C7/C4)</f>
        <v>0</v>
      </c>
      <c r="F7" s="7">
        <v>0</v>
      </c>
      <c r="J7" s="7">
        <f t="shared" ref="J7:J11" si="5">F7</f>
        <v>0</v>
      </c>
      <c r="N7">
        <f t="shared" si="0"/>
        <v>0</v>
      </c>
      <c r="R7">
        <f t="shared" si="1"/>
        <v>0</v>
      </c>
      <c r="V7">
        <f t="shared" si="2"/>
        <v>0</v>
      </c>
      <c r="Z7">
        <f t="shared" si="3"/>
        <v>0</v>
      </c>
      <c r="AD7">
        <f t="shared" si="4"/>
        <v>0</v>
      </c>
    </row>
    <row r="8" spans="1:32">
      <c r="B8" s="4" t="s">
        <v>9</v>
      </c>
      <c r="C8">
        <v>1</v>
      </c>
      <c r="D8" s="2">
        <f>IF(C4=0,0,C8/C4)</f>
        <v>0.33333333333333331</v>
      </c>
      <c r="F8" s="7">
        <v>0</v>
      </c>
      <c r="J8" s="7">
        <v>1</v>
      </c>
      <c r="L8">
        <v>1</v>
      </c>
      <c r="N8">
        <f t="shared" si="0"/>
        <v>1</v>
      </c>
      <c r="R8">
        <f t="shared" si="1"/>
        <v>1</v>
      </c>
      <c r="V8">
        <f t="shared" si="2"/>
        <v>1</v>
      </c>
      <c r="Z8">
        <f t="shared" si="3"/>
        <v>1</v>
      </c>
      <c r="AD8">
        <f t="shared" si="4"/>
        <v>1</v>
      </c>
    </row>
    <row r="9" spans="1:32">
      <c r="B9" s="4" t="s">
        <v>3</v>
      </c>
      <c r="C9">
        <v>0</v>
      </c>
      <c r="D9" s="2">
        <f>IF(C4=0,0,C9/C4)</f>
        <v>0</v>
      </c>
      <c r="F9" s="7">
        <v>0</v>
      </c>
      <c r="J9" s="7">
        <f t="shared" si="5"/>
        <v>0</v>
      </c>
      <c r="N9">
        <f t="shared" si="0"/>
        <v>0</v>
      </c>
      <c r="R9">
        <f t="shared" si="1"/>
        <v>0</v>
      </c>
      <c r="V9">
        <f t="shared" si="2"/>
        <v>0</v>
      </c>
      <c r="Z9">
        <f t="shared" si="3"/>
        <v>0</v>
      </c>
      <c r="AD9">
        <f t="shared" si="4"/>
        <v>0</v>
      </c>
    </row>
    <row r="10" spans="1:32">
      <c r="B10" s="4" t="s">
        <v>4</v>
      </c>
      <c r="C10">
        <v>0</v>
      </c>
      <c r="D10" s="2">
        <f>IF(C4=0,0,C10/C4)</f>
        <v>0</v>
      </c>
      <c r="F10" s="7">
        <v>0</v>
      </c>
      <c r="J10" s="7">
        <f t="shared" si="5"/>
        <v>0</v>
      </c>
      <c r="N10">
        <f t="shared" si="0"/>
        <v>0</v>
      </c>
      <c r="R10">
        <f t="shared" si="1"/>
        <v>0</v>
      </c>
      <c r="V10">
        <f t="shared" si="2"/>
        <v>0</v>
      </c>
      <c r="Z10">
        <f t="shared" si="3"/>
        <v>0</v>
      </c>
      <c r="AD10">
        <f t="shared" si="4"/>
        <v>0</v>
      </c>
    </row>
    <row r="11" spans="1:32">
      <c r="B11" s="4" t="s">
        <v>6</v>
      </c>
      <c r="C11">
        <v>0</v>
      </c>
      <c r="D11" s="2">
        <f>IF(C4=0,0,C11/C4)</f>
        <v>0</v>
      </c>
      <c r="F11" s="7">
        <v>0</v>
      </c>
      <c r="J11" s="7">
        <f t="shared" si="5"/>
        <v>0</v>
      </c>
      <c r="N11">
        <f t="shared" si="0"/>
        <v>0</v>
      </c>
      <c r="R11">
        <f t="shared" si="1"/>
        <v>0</v>
      </c>
      <c r="V11">
        <f t="shared" si="2"/>
        <v>0</v>
      </c>
      <c r="Z11">
        <f t="shared" si="3"/>
        <v>0</v>
      </c>
      <c r="AD11">
        <f t="shared" si="4"/>
        <v>0</v>
      </c>
    </row>
    <row r="12" spans="1:32">
      <c r="B12" s="4"/>
      <c r="D12" s="2"/>
      <c r="F12" s="7"/>
      <c r="J12" s="7"/>
      <c r="K12">
        <f>J5*$C5+J6*$C6+J7*$C7+J8*$C8+J9*$C9+J10*$C10+J11*$C11</f>
        <v>3</v>
      </c>
      <c r="O12">
        <f>N5*$C5+N6*$C6+N7*$C7+N8*$C8+N9*$C9+N10*$C10+N11*$C11</f>
        <v>3</v>
      </c>
      <c r="S12">
        <f>R5*$C5+R6*$C6+R7*$C7+R8*$C8+R9*$C9+R10*$C10+R11*$C11</f>
        <v>3</v>
      </c>
      <c r="W12">
        <f>V5*$C5+V6*$C6+V7*$C7+V8*$C8+V9*$C9+V10*$C10+V11*$C11</f>
        <v>3</v>
      </c>
      <c r="AA12">
        <f>Z5*$C5+Z6*$C6+Z7*$C7+Z8*$C8+Z9*$C9+Z10*$C10+Z11*$C11</f>
        <v>3</v>
      </c>
      <c r="AE12">
        <f>AD5*$C5+AD6*$C6+AD7*$C7+AD8*$C8+AD9*$C9+AD10*$C10+AD11*$C11</f>
        <v>3</v>
      </c>
    </row>
    <row r="13" spans="1:32">
      <c r="A13" t="s">
        <v>18</v>
      </c>
      <c r="B13" s="1" t="s">
        <v>37</v>
      </c>
      <c r="C13">
        <f>SUM(C14:C20)</f>
        <v>2</v>
      </c>
      <c r="D13" s="2">
        <f>SUM(D14:D20)</f>
        <v>1</v>
      </c>
      <c r="F13" s="7"/>
      <c r="J13" s="7"/>
    </row>
    <row r="14" spans="1:32">
      <c r="B14" s="4" t="s">
        <v>1</v>
      </c>
      <c r="C14">
        <v>1</v>
      </c>
      <c r="D14" s="2">
        <f>IF(C13=0,0,C14/C13)</f>
        <v>0.5</v>
      </c>
      <c r="F14" s="7">
        <v>0</v>
      </c>
      <c r="J14" s="7">
        <v>1</v>
      </c>
      <c r="L14">
        <v>1</v>
      </c>
      <c r="N14">
        <f t="shared" ref="N14:N20" si="6">J14</f>
        <v>1</v>
      </c>
      <c r="R14">
        <f>N14</f>
        <v>1</v>
      </c>
      <c r="V14">
        <f>R14</f>
        <v>1</v>
      </c>
      <c r="Z14">
        <f>V14</f>
        <v>1</v>
      </c>
      <c r="AD14">
        <f>Z14</f>
        <v>1</v>
      </c>
    </row>
    <row r="15" spans="1:32">
      <c r="B15" s="4" t="s">
        <v>2</v>
      </c>
      <c r="C15">
        <v>0</v>
      </c>
      <c r="D15" s="2">
        <f>IF(C13=0,0,C15/C13)</f>
        <v>0</v>
      </c>
      <c r="F15" s="7">
        <v>0</v>
      </c>
      <c r="J15" s="7">
        <f t="shared" ref="J15:J20" si="7">F15</f>
        <v>0</v>
      </c>
      <c r="N15">
        <f t="shared" si="6"/>
        <v>0</v>
      </c>
      <c r="R15">
        <f t="shared" ref="R15:R20" si="8">N15</f>
        <v>0</v>
      </c>
      <c r="V15">
        <f t="shared" ref="V15:V20" si="9">R15</f>
        <v>0</v>
      </c>
      <c r="Z15">
        <f t="shared" ref="Z15:Z20" si="10">V15</f>
        <v>0</v>
      </c>
      <c r="AD15">
        <f t="shared" ref="AD15:AD20" si="11">Z15</f>
        <v>0</v>
      </c>
    </row>
    <row r="16" spans="1:32">
      <c r="B16" s="4" t="s">
        <v>5</v>
      </c>
      <c r="C16">
        <v>0</v>
      </c>
      <c r="D16" s="2">
        <f>IF(C13=0,0,C16/C13)</f>
        <v>0</v>
      </c>
      <c r="F16" s="7">
        <v>0</v>
      </c>
      <c r="J16" s="7">
        <f t="shared" si="7"/>
        <v>0</v>
      </c>
      <c r="N16">
        <f t="shared" si="6"/>
        <v>0</v>
      </c>
      <c r="R16">
        <f t="shared" si="8"/>
        <v>0</v>
      </c>
      <c r="V16">
        <f t="shared" si="9"/>
        <v>0</v>
      </c>
      <c r="Z16">
        <f t="shared" si="10"/>
        <v>0</v>
      </c>
      <c r="AD16">
        <f t="shared" si="11"/>
        <v>0</v>
      </c>
    </row>
    <row r="17" spans="1:31">
      <c r="B17" s="4" t="s">
        <v>9</v>
      </c>
      <c r="C17">
        <v>0</v>
      </c>
      <c r="D17" s="2">
        <f>IF(C13=0,0,C17/C13)</f>
        <v>0</v>
      </c>
      <c r="F17" s="7">
        <v>0</v>
      </c>
      <c r="J17" s="7">
        <f t="shared" si="7"/>
        <v>0</v>
      </c>
      <c r="N17">
        <f t="shared" si="6"/>
        <v>0</v>
      </c>
      <c r="R17">
        <f t="shared" si="8"/>
        <v>0</v>
      </c>
      <c r="V17">
        <f t="shared" si="9"/>
        <v>0</v>
      </c>
      <c r="Z17">
        <f t="shared" si="10"/>
        <v>0</v>
      </c>
      <c r="AD17">
        <f t="shared" si="11"/>
        <v>0</v>
      </c>
    </row>
    <row r="18" spans="1:31">
      <c r="B18" s="4" t="s">
        <v>3</v>
      </c>
      <c r="C18">
        <v>0</v>
      </c>
      <c r="D18" s="2">
        <f>IF(C13=0,0,C18/C13)</f>
        <v>0</v>
      </c>
      <c r="F18" s="7">
        <v>0</v>
      </c>
      <c r="J18" s="7">
        <f t="shared" si="7"/>
        <v>0</v>
      </c>
      <c r="K18" s="7"/>
      <c r="N18">
        <f t="shared" si="6"/>
        <v>0</v>
      </c>
      <c r="R18">
        <f t="shared" si="8"/>
        <v>0</v>
      </c>
      <c r="V18">
        <f t="shared" si="9"/>
        <v>0</v>
      </c>
      <c r="Z18">
        <f t="shared" si="10"/>
        <v>0</v>
      </c>
      <c r="AD18">
        <f t="shared" si="11"/>
        <v>0</v>
      </c>
    </row>
    <row r="19" spans="1:31">
      <c r="B19" s="4" t="s">
        <v>4</v>
      </c>
      <c r="C19">
        <v>1</v>
      </c>
      <c r="D19" s="2">
        <f>IF(C13=0,0,C19/C13)</f>
        <v>0.5</v>
      </c>
      <c r="F19" s="7">
        <v>0</v>
      </c>
      <c r="J19" s="7">
        <v>1</v>
      </c>
      <c r="L19">
        <v>1</v>
      </c>
      <c r="N19">
        <f t="shared" si="6"/>
        <v>1</v>
      </c>
      <c r="R19">
        <f t="shared" si="8"/>
        <v>1</v>
      </c>
      <c r="V19">
        <f t="shared" si="9"/>
        <v>1</v>
      </c>
      <c r="Z19">
        <f t="shared" si="10"/>
        <v>1</v>
      </c>
      <c r="AD19">
        <f t="shared" si="11"/>
        <v>1</v>
      </c>
    </row>
    <row r="20" spans="1:31">
      <c r="B20" s="4" t="s">
        <v>6</v>
      </c>
      <c r="C20">
        <v>0</v>
      </c>
      <c r="D20" s="2">
        <f>IF(C13=0,0,C20/C13)</f>
        <v>0</v>
      </c>
      <c r="F20" s="7">
        <v>0</v>
      </c>
      <c r="J20" s="7">
        <f t="shared" si="7"/>
        <v>0</v>
      </c>
      <c r="N20">
        <f t="shared" si="6"/>
        <v>0</v>
      </c>
      <c r="R20">
        <f t="shared" si="8"/>
        <v>0</v>
      </c>
      <c r="V20">
        <f t="shared" si="9"/>
        <v>0</v>
      </c>
      <c r="Z20">
        <f t="shared" si="10"/>
        <v>0</v>
      </c>
      <c r="AD20">
        <f t="shared" si="11"/>
        <v>0</v>
      </c>
    </row>
    <row r="21" spans="1:31">
      <c r="B21" s="5"/>
      <c r="F21" s="7"/>
      <c r="J21" s="7"/>
      <c r="K21">
        <f>J14*$C14+J15*$C15+J16*$C16+J17*$C17+J18*$C18+J19*$C19+J20*$C20</f>
        <v>2</v>
      </c>
      <c r="O21">
        <f>N14*$C14+N15*$C15+N16*$C16+N17*$C17+N18*$C18+N19*$C19+N20*$C20</f>
        <v>2</v>
      </c>
      <c r="S21">
        <f>R14*$C14+R15*$C15+R16*$C16+R17*$C17+R18*$C18+R19*$C19+R20*$C20</f>
        <v>2</v>
      </c>
      <c r="W21">
        <f>V14*$C14+V15*$C15+V16*$C16+V17*$C17+V18*$C18+V19*$C19+V20*$C20</f>
        <v>2</v>
      </c>
      <c r="AA21">
        <f>Z14*$C14+Z15*$C15+Z16*$C16+Z17*$C17+Z18*$C18+Z19*$C19+Z20*$C20</f>
        <v>2</v>
      </c>
      <c r="AE21">
        <f>AD14*$C14+AD15*$C15+AD16*$C16+AD17*$C17+AD18*$C18+AD19*$C19+AD20*$C20</f>
        <v>2</v>
      </c>
    </row>
    <row r="22" spans="1:31">
      <c r="A22" t="s">
        <v>18</v>
      </c>
      <c r="B22" s="1" t="s">
        <v>36</v>
      </c>
      <c r="C22">
        <f>SUM(C23:C29)</f>
        <v>2</v>
      </c>
      <c r="D22" s="2">
        <f>SUM(D23:D29)</f>
        <v>1</v>
      </c>
      <c r="F22" s="7"/>
      <c r="J22" s="7"/>
    </row>
    <row r="23" spans="1:31">
      <c r="B23" s="4" t="s">
        <v>1</v>
      </c>
      <c r="C23">
        <v>1</v>
      </c>
      <c r="D23" s="2">
        <f>IF(C22=0,0,C23/C22)</f>
        <v>0.5</v>
      </c>
      <c r="F23" s="7">
        <v>0</v>
      </c>
      <c r="J23" s="7">
        <f t="shared" ref="J23:J29" si="12">F23</f>
        <v>0</v>
      </c>
      <c r="N23">
        <v>1</v>
      </c>
      <c r="P23">
        <v>1</v>
      </c>
      <c r="R23">
        <f>N23</f>
        <v>1</v>
      </c>
      <c r="V23">
        <f>R23</f>
        <v>1</v>
      </c>
      <c r="Z23">
        <f>V23</f>
        <v>1</v>
      </c>
      <c r="AD23">
        <f>Z23</f>
        <v>1</v>
      </c>
    </row>
    <row r="24" spans="1:31">
      <c r="B24" s="4" t="s">
        <v>2</v>
      </c>
      <c r="C24">
        <v>0</v>
      </c>
      <c r="D24" s="2">
        <f>IF(C22=0,0,C24/C22)</f>
        <v>0</v>
      </c>
      <c r="F24" s="7">
        <v>0</v>
      </c>
      <c r="J24" s="7">
        <f t="shared" si="12"/>
        <v>0</v>
      </c>
      <c r="N24">
        <f t="shared" ref="N24:N29" si="13">J24</f>
        <v>0</v>
      </c>
      <c r="R24">
        <f t="shared" ref="R24:R38" si="14">N24</f>
        <v>0</v>
      </c>
      <c r="V24">
        <f t="shared" ref="V24:V29" si="15">R24</f>
        <v>0</v>
      </c>
      <c r="Z24">
        <f t="shared" ref="Z24:Z29" si="16">V24</f>
        <v>0</v>
      </c>
      <c r="AD24">
        <f t="shared" ref="AD24:AD29" si="17">Z24</f>
        <v>0</v>
      </c>
    </row>
    <row r="25" spans="1:31">
      <c r="B25" s="4" t="s">
        <v>5</v>
      </c>
      <c r="C25">
        <v>0</v>
      </c>
      <c r="D25" s="2">
        <f>IF(C22=0,0,C25/C22)</f>
        <v>0</v>
      </c>
      <c r="F25" s="7">
        <v>0</v>
      </c>
      <c r="J25" s="7">
        <f t="shared" si="12"/>
        <v>0</v>
      </c>
      <c r="N25">
        <f t="shared" si="13"/>
        <v>0</v>
      </c>
      <c r="R25">
        <f t="shared" si="14"/>
        <v>0</v>
      </c>
      <c r="V25">
        <f t="shared" si="15"/>
        <v>0</v>
      </c>
      <c r="Z25">
        <f t="shared" si="16"/>
        <v>0</v>
      </c>
      <c r="AD25">
        <f t="shared" si="17"/>
        <v>0</v>
      </c>
    </row>
    <row r="26" spans="1:31">
      <c r="B26" s="4" t="s">
        <v>9</v>
      </c>
      <c r="C26">
        <v>0</v>
      </c>
      <c r="D26" s="2">
        <f>IF(C22=0,0,C26/C22)</f>
        <v>0</v>
      </c>
      <c r="F26" s="7">
        <v>0</v>
      </c>
      <c r="J26" s="7">
        <f t="shared" si="12"/>
        <v>0</v>
      </c>
      <c r="N26">
        <f t="shared" si="13"/>
        <v>0</v>
      </c>
      <c r="R26">
        <f t="shared" si="14"/>
        <v>0</v>
      </c>
      <c r="V26">
        <f t="shared" si="15"/>
        <v>0</v>
      </c>
      <c r="Z26">
        <f t="shared" si="16"/>
        <v>0</v>
      </c>
      <c r="AD26">
        <f t="shared" si="17"/>
        <v>0</v>
      </c>
    </row>
    <row r="27" spans="1:31">
      <c r="B27" s="4" t="s">
        <v>3</v>
      </c>
      <c r="C27">
        <v>0</v>
      </c>
      <c r="D27" s="2">
        <f>IF(C22=0,0,C27/C22)</f>
        <v>0</v>
      </c>
      <c r="F27" s="7">
        <v>0</v>
      </c>
      <c r="J27" s="7">
        <f t="shared" si="12"/>
        <v>0</v>
      </c>
      <c r="N27">
        <f t="shared" si="13"/>
        <v>0</v>
      </c>
      <c r="R27">
        <f t="shared" si="14"/>
        <v>0</v>
      </c>
      <c r="V27">
        <f t="shared" si="15"/>
        <v>0</v>
      </c>
      <c r="Z27">
        <f t="shared" si="16"/>
        <v>0</v>
      </c>
      <c r="AD27">
        <f t="shared" si="17"/>
        <v>0</v>
      </c>
    </row>
    <row r="28" spans="1:31">
      <c r="B28" s="4" t="s">
        <v>4</v>
      </c>
      <c r="C28">
        <v>1</v>
      </c>
      <c r="D28" s="2">
        <f>IF(C22=0,0,C28/C22)</f>
        <v>0.5</v>
      </c>
      <c r="F28" s="7">
        <v>0</v>
      </c>
      <c r="J28" s="7">
        <f t="shared" si="12"/>
        <v>0</v>
      </c>
      <c r="N28">
        <v>1</v>
      </c>
      <c r="P28">
        <v>1</v>
      </c>
      <c r="R28">
        <f t="shared" si="14"/>
        <v>1</v>
      </c>
      <c r="V28">
        <f t="shared" si="15"/>
        <v>1</v>
      </c>
      <c r="Z28">
        <f t="shared" si="16"/>
        <v>1</v>
      </c>
      <c r="AD28">
        <f t="shared" si="17"/>
        <v>1</v>
      </c>
    </row>
    <row r="29" spans="1:31">
      <c r="B29" s="4" t="s">
        <v>6</v>
      </c>
      <c r="C29">
        <v>0</v>
      </c>
      <c r="D29" s="2">
        <f>IF(C22=0,0,C29/C22)</f>
        <v>0</v>
      </c>
      <c r="F29" s="7">
        <v>0</v>
      </c>
      <c r="J29" s="7">
        <f t="shared" si="12"/>
        <v>0</v>
      </c>
      <c r="N29">
        <f t="shared" si="13"/>
        <v>0</v>
      </c>
      <c r="R29">
        <f t="shared" si="14"/>
        <v>0</v>
      </c>
      <c r="V29">
        <f t="shared" si="15"/>
        <v>0</v>
      </c>
      <c r="Z29">
        <f t="shared" si="16"/>
        <v>0</v>
      </c>
      <c r="AD29">
        <f t="shared" si="17"/>
        <v>0</v>
      </c>
    </row>
    <row r="30" spans="1:31">
      <c r="B30" s="5"/>
      <c r="D30" s="2"/>
      <c r="F30" s="7"/>
      <c r="J30" s="7"/>
      <c r="K30">
        <f>J23*$C23+J24*$C24+J25*$C25+J26*$C26+J27*$C27+J28*$C28+J29*$C29</f>
        <v>0</v>
      </c>
      <c r="O30">
        <f>N23*$C23+N24*$C24+N25*$C25+N26*$C26+N27*$C27+N28*$C28+N29*$C29</f>
        <v>2</v>
      </c>
      <c r="S30">
        <f>R23*$C23+R24*$C24+R25*$C25+R26*$C26+R27*$C27+R28*$C28+R29*$C29</f>
        <v>2</v>
      </c>
      <c r="W30">
        <f>V23*$C23+V24*$C24+V25*$C25+V26*$C26+V27*$C27+V28*$C28+V29*$C29</f>
        <v>2</v>
      </c>
      <c r="AA30">
        <f>Z23*$C23+Z24*$C24+Z25*$C25+Z26*$C26+Z27*$C27+Z28*$C28+Z29*$C29</f>
        <v>2</v>
      </c>
      <c r="AE30">
        <f>AD23*$C23+AD24*$C24+AD25*$C25+AD26*$C26+AD27*$C27+AD28*$C28+AD29*$C29</f>
        <v>2</v>
      </c>
    </row>
    <row r="31" spans="1:31">
      <c r="A31" t="s">
        <v>18</v>
      </c>
      <c r="B31" s="1" t="s">
        <v>33</v>
      </c>
      <c r="C31">
        <f>SUM(C32:C38)</f>
        <v>3</v>
      </c>
      <c r="D31" s="2">
        <f>SUM(D32:D38)</f>
        <v>1</v>
      </c>
      <c r="F31" s="7"/>
      <c r="J31" s="7"/>
    </row>
    <row r="32" spans="1:31">
      <c r="B32" s="4" t="s">
        <v>1</v>
      </c>
      <c r="C32">
        <v>1</v>
      </c>
      <c r="D32" s="2">
        <f>C32/C31</f>
        <v>0.33333333333333331</v>
      </c>
      <c r="F32" s="7">
        <v>0</v>
      </c>
      <c r="J32" s="7">
        <f t="shared" ref="J32:J38" si="18">F32</f>
        <v>0</v>
      </c>
      <c r="N32">
        <v>1</v>
      </c>
      <c r="P32">
        <v>1</v>
      </c>
      <c r="R32">
        <f t="shared" si="14"/>
        <v>1</v>
      </c>
      <c r="V32">
        <f t="shared" ref="V32:V38" si="19">R32</f>
        <v>1</v>
      </c>
      <c r="Z32">
        <f t="shared" ref="Z32:Z38" si="20">V32</f>
        <v>1</v>
      </c>
      <c r="AD32">
        <f t="shared" ref="AD32:AD38" si="21">Z32</f>
        <v>1</v>
      </c>
    </row>
    <row r="33" spans="1:31">
      <c r="B33" s="4" t="s">
        <v>2</v>
      </c>
      <c r="C33">
        <v>1</v>
      </c>
      <c r="D33" s="2">
        <f>C33/C31</f>
        <v>0.33333333333333331</v>
      </c>
      <c r="F33" s="7">
        <v>0</v>
      </c>
      <c r="J33" s="7">
        <f t="shared" si="18"/>
        <v>0</v>
      </c>
      <c r="N33">
        <v>1</v>
      </c>
      <c r="P33">
        <v>1</v>
      </c>
      <c r="R33">
        <f t="shared" si="14"/>
        <v>1</v>
      </c>
      <c r="V33">
        <f t="shared" si="19"/>
        <v>1</v>
      </c>
      <c r="Z33">
        <f t="shared" si="20"/>
        <v>1</v>
      </c>
      <c r="AD33">
        <f t="shared" si="21"/>
        <v>1</v>
      </c>
    </row>
    <row r="34" spans="1:31">
      <c r="B34" s="4" t="s">
        <v>5</v>
      </c>
      <c r="C34">
        <v>0</v>
      </c>
      <c r="D34" s="2">
        <f>C34/C31</f>
        <v>0</v>
      </c>
      <c r="F34" s="7">
        <v>0</v>
      </c>
      <c r="J34" s="7">
        <f t="shared" si="18"/>
        <v>0</v>
      </c>
      <c r="N34">
        <f>J34</f>
        <v>0</v>
      </c>
      <c r="R34">
        <f t="shared" si="14"/>
        <v>0</v>
      </c>
      <c r="V34">
        <f t="shared" si="19"/>
        <v>0</v>
      </c>
      <c r="Z34">
        <f t="shared" si="20"/>
        <v>0</v>
      </c>
      <c r="AD34">
        <f t="shared" si="21"/>
        <v>0</v>
      </c>
    </row>
    <row r="35" spans="1:31">
      <c r="B35" s="4" t="s">
        <v>9</v>
      </c>
      <c r="C35">
        <v>0</v>
      </c>
      <c r="D35" s="2">
        <f>C35/C31</f>
        <v>0</v>
      </c>
      <c r="F35" s="7">
        <v>0</v>
      </c>
      <c r="J35" s="7">
        <f t="shared" si="18"/>
        <v>0</v>
      </c>
      <c r="N35">
        <f t="shared" ref="N35:N38" si="22">J35</f>
        <v>0</v>
      </c>
      <c r="R35">
        <f t="shared" si="14"/>
        <v>0</v>
      </c>
      <c r="V35">
        <f t="shared" si="19"/>
        <v>0</v>
      </c>
      <c r="Z35">
        <f t="shared" si="20"/>
        <v>0</v>
      </c>
      <c r="AD35">
        <f t="shared" si="21"/>
        <v>0</v>
      </c>
    </row>
    <row r="36" spans="1:31">
      <c r="B36" s="4" t="s">
        <v>3</v>
      </c>
      <c r="C36">
        <v>0</v>
      </c>
      <c r="D36" s="2">
        <f>C36/C31</f>
        <v>0</v>
      </c>
      <c r="F36" s="7">
        <v>0</v>
      </c>
      <c r="J36" s="7">
        <f t="shared" si="18"/>
        <v>0</v>
      </c>
      <c r="N36">
        <f t="shared" si="22"/>
        <v>0</v>
      </c>
      <c r="R36">
        <f t="shared" si="14"/>
        <v>0</v>
      </c>
      <c r="V36">
        <f t="shared" si="19"/>
        <v>0</v>
      </c>
      <c r="Z36">
        <f t="shared" si="20"/>
        <v>0</v>
      </c>
      <c r="AD36">
        <f t="shared" si="21"/>
        <v>0</v>
      </c>
    </row>
    <row r="37" spans="1:31">
      <c r="B37" s="4" t="s">
        <v>4</v>
      </c>
      <c r="C37">
        <v>1</v>
      </c>
      <c r="D37" s="2">
        <f>C37/C31</f>
        <v>0.33333333333333331</v>
      </c>
      <c r="F37" s="7">
        <v>0</v>
      </c>
      <c r="J37" s="7">
        <f t="shared" si="18"/>
        <v>0</v>
      </c>
      <c r="N37">
        <v>1</v>
      </c>
      <c r="P37">
        <v>1</v>
      </c>
      <c r="R37">
        <f t="shared" si="14"/>
        <v>1</v>
      </c>
      <c r="V37">
        <f t="shared" si="19"/>
        <v>1</v>
      </c>
      <c r="Z37">
        <f t="shared" si="20"/>
        <v>1</v>
      </c>
      <c r="AD37">
        <f t="shared" si="21"/>
        <v>1</v>
      </c>
    </row>
    <row r="38" spans="1:31">
      <c r="B38" s="4" t="s">
        <v>6</v>
      </c>
      <c r="C38">
        <v>0</v>
      </c>
      <c r="D38" s="2">
        <f>C38/C31</f>
        <v>0</v>
      </c>
      <c r="F38" s="7">
        <v>0</v>
      </c>
      <c r="J38" s="7">
        <f t="shared" si="18"/>
        <v>0</v>
      </c>
      <c r="N38">
        <f t="shared" si="22"/>
        <v>0</v>
      </c>
      <c r="R38">
        <f t="shared" si="14"/>
        <v>0</v>
      </c>
      <c r="V38">
        <f t="shared" si="19"/>
        <v>0</v>
      </c>
      <c r="Z38">
        <f t="shared" si="20"/>
        <v>0</v>
      </c>
      <c r="AD38">
        <f t="shared" si="21"/>
        <v>0</v>
      </c>
    </row>
    <row r="39" spans="1:31">
      <c r="B39" s="5"/>
      <c r="F39" s="7"/>
      <c r="J39" s="7"/>
      <c r="K39">
        <f>J32*$C32+J33*$C33+J34*$C34+J35*$C35+J36*$C36+J37*$C37+J38*$C38</f>
        <v>0</v>
      </c>
      <c r="O39">
        <f>N32*$C32+N33*$C33+N34*$C34+N35*$C35+N36*$C36+N37*$C37+N38*$C38</f>
        <v>3</v>
      </c>
      <c r="S39">
        <f>R32*$C32+R33*$C33+R34*$C34+R35*$C35+R36*$C36+R37*$C37+R38*$C38</f>
        <v>3</v>
      </c>
      <c r="W39">
        <f>V32*$C32+V33*$C33+V34*$C34+V35*$C35+V36*$C36+V37*$C37+V38*$C38</f>
        <v>3</v>
      </c>
      <c r="AA39">
        <f>Z32*$C32+Z33*$C33+Z34*$C34+Z35*$C35+Z36*$C36+Z37*$C37+Z38*$C38</f>
        <v>3</v>
      </c>
      <c r="AE39">
        <f>AD32*$C32+AD33*$C33+AD34*$C34+AD35*$C35+AD36*$C36+AD37*$C37+AD38*$C38</f>
        <v>3</v>
      </c>
    </row>
    <row r="40" spans="1:31">
      <c r="A40" t="s">
        <v>18</v>
      </c>
      <c r="B40" s="1" t="s">
        <v>34</v>
      </c>
      <c r="C40">
        <f>SUM(C41:C47)</f>
        <v>6</v>
      </c>
      <c r="D40" s="2">
        <f>SUM(D41:D47)</f>
        <v>1</v>
      </c>
      <c r="F40" s="7"/>
      <c r="J40" s="7"/>
    </row>
    <row r="41" spans="1:31">
      <c r="B41" s="4" t="s">
        <v>1</v>
      </c>
      <c r="C41">
        <v>1</v>
      </c>
      <c r="D41" s="2">
        <f>C41/C40</f>
        <v>0.16666666666666666</v>
      </c>
      <c r="F41" s="7">
        <v>0</v>
      </c>
      <c r="J41" s="7">
        <f t="shared" ref="J41:J47" si="23">F41</f>
        <v>0</v>
      </c>
      <c r="N41">
        <f t="shared" ref="N41:N47" si="24">J41</f>
        <v>0</v>
      </c>
      <c r="R41">
        <v>1</v>
      </c>
      <c r="T41">
        <v>1</v>
      </c>
      <c r="V41">
        <f t="shared" ref="V41:V47" si="25">R41</f>
        <v>1</v>
      </c>
      <c r="Z41">
        <f t="shared" ref="Z41:Z47" si="26">V41</f>
        <v>1</v>
      </c>
      <c r="AD41">
        <f t="shared" ref="AD41:AD47" si="27">Z41</f>
        <v>1</v>
      </c>
    </row>
    <row r="42" spans="1:31">
      <c r="B42" s="4" t="s">
        <v>2</v>
      </c>
      <c r="C42">
        <v>1</v>
      </c>
      <c r="D42" s="2">
        <f>C42/C40</f>
        <v>0.16666666666666666</v>
      </c>
      <c r="F42" s="7">
        <v>0</v>
      </c>
      <c r="J42" s="7">
        <f t="shared" si="23"/>
        <v>0</v>
      </c>
      <c r="N42">
        <f t="shared" si="24"/>
        <v>0</v>
      </c>
      <c r="R42">
        <v>1</v>
      </c>
      <c r="T42">
        <v>1</v>
      </c>
      <c r="V42">
        <f t="shared" si="25"/>
        <v>1</v>
      </c>
      <c r="Z42">
        <f t="shared" si="26"/>
        <v>1</v>
      </c>
      <c r="AD42">
        <f t="shared" si="27"/>
        <v>1</v>
      </c>
    </row>
    <row r="43" spans="1:31">
      <c r="B43" s="4" t="s">
        <v>5</v>
      </c>
      <c r="C43">
        <v>0</v>
      </c>
      <c r="D43" s="2">
        <f>C43/C40</f>
        <v>0</v>
      </c>
      <c r="F43" s="7">
        <v>0</v>
      </c>
      <c r="J43" s="7">
        <f t="shared" si="23"/>
        <v>0</v>
      </c>
      <c r="N43">
        <f t="shared" si="24"/>
        <v>0</v>
      </c>
      <c r="R43">
        <f t="shared" ref="R43:R47" si="28">N43</f>
        <v>0</v>
      </c>
      <c r="V43">
        <f t="shared" si="25"/>
        <v>0</v>
      </c>
      <c r="Z43">
        <f t="shared" si="26"/>
        <v>0</v>
      </c>
      <c r="AD43">
        <f t="shared" si="27"/>
        <v>0</v>
      </c>
    </row>
    <row r="44" spans="1:31">
      <c r="B44" s="4" t="s">
        <v>9</v>
      </c>
      <c r="C44">
        <v>1</v>
      </c>
      <c r="D44" s="2">
        <f>C44/C40</f>
        <v>0.16666666666666666</v>
      </c>
      <c r="F44" s="7">
        <v>0</v>
      </c>
      <c r="J44" s="7">
        <f t="shared" si="23"/>
        <v>0</v>
      </c>
      <c r="N44">
        <f t="shared" si="24"/>
        <v>0</v>
      </c>
      <c r="R44">
        <v>1</v>
      </c>
      <c r="V44">
        <f t="shared" si="25"/>
        <v>1</v>
      </c>
      <c r="Z44">
        <f t="shared" si="26"/>
        <v>1</v>
      </c>
      <c r="AD44">
        <f t="shared" si="27"/>
        <v>1</v>
      </c>
    </row>
    <row r="45" spans="1:31">
      <c r="B45" s="4" t="s">
        <v>3</v>
      </c>
      <c r="C45">
        <v>0</v>
      </c>
      <c r="D45" s="2">
        <f>C45/C40</f>
        <v>0</v>
      </c>
      <c r="F45" s="7">
        <v>0</v>
      </c>
      <c r="J45" s="7">
        <f t="shared" si="23"/>
        <v>0</v>
      </c>
      <c r="N45">
        <f t="shared" si="24"/>
        <v>0</v>
      </c>
      <c r="R45">
        <f t="shared" si="28"/>
        <v>0</v>
      </c>
      <c r="V45">
        <f t="shared" si="25"/>
        <v>0</v>
      </c>
      <c r="Z45">
        <f t="shared" si="26"/>
        <v>0</v>
      </c>
      <c r="AD45">
        <f t="shared" si="27"/>
        <v>0</v>
      </c>
    </row>
    <row r="46" spans="1:31">
      <c r="B46" s="4" t="s">
        <v>4</v>
      </c>
      <c r="C46">
        <v>3</v>
      </c>
      <c r="D46" s="2">
        <f>C46/C40</f>
        <v>0.5</v>
      </c>
      <c r="F46" s="7">
        <v>0</v>
      </c>
      <c r="J46" s="7">
        <f t="shared" si="23"/>
        <v>0</v>
      </c>
      <c r="N46">
        <f t="shared" si="24"/>
        <v>0</v>
      </c>
      <c r="R46">
        <f t="shared" si="28"/>
        <v>0</v>
      </c>
      <c r="T46">
        <v>5</v>
      </c>
      <c r="V46">
        <f t="shared" si="25"/>
        <v>0</v>
      </c>
      <c r="X46">
        <v>2</v>
      </c>
      <c r="Z46">
        <v>1</v>
      </c>
      <c r="AB46">
        <v>1</v>
      </c>
      <c r="AD46">
        <f t="shared" si="27"/>
        <v>1</v>
      </c>
    </row>
    <row r="47" spans="1:31">
      <c r="B47" s="4" t="s">
        <v>6</v>
      </c>
      <c r="C47">
        <v>0</v>
      </c>
      <c r="D47" s="2">
        <f>C47/C40</f>
        <v>0</v>
      </c>
      <c r="F47" s="7">
        <v>0</v>
      </c>
      <c r="J47" s="7">
        <f t="shared" si="23"/>
        <v>0</v>
      </c>
      <c r="N47">
        <f t="shared" si="24"/>
        <v>0</v>
      </c>
      <c r="R47">
        <f t="shared" si="28"/>
        <v>0</v>
      </c>
      <c r="V47">
        <f t="shared" si="25"/>
        <v>0</v>
      </c>
      <c r="Z47">
        <f t="shared" si="26"/>
        <v>0</v>
      </c>
      <c r="AD47">
        <f t="shared" si="27"/>
        <v>0</v>
      </c>
    </row>
    <row r="48" spans="1:31">
      <c r="F48" s="7"/>
      <c r="J48" s="7"/>
      <c r="K48">
        <f>J41*$C41+J42*$C42+J43*$C43+J44*$C44+J45*$C45+J46*$C46+J47*$C47</f>
        <v>0</v>
      </c>
      <c r="O48">
        <f>N41*$C41+N42*$C42+N43*$C43+N44*$C44+N45*$C45+N46*$C46+N47*$C47</f>
        <v>0</v>
      </c>
      <c r="S48">
        <f>R41*$C41+R42*$C42+R43*$C43+R44*$C44+R45*$C45+R46*$C46+R47*$C47</f>
        <v>3</v>
      </c>
      <c r="W48">
        <f>V41*$C41+V42*$C42+V43*$C43+V44*$C44+V45*$C45+V46*$C46+V47*$C47</f>
        <v>3</v>
      </c>
      <c r="AA48">
        <f>Z41*$C41+Z42*$C42+Z43*$C43+Z44*$C44+Z45*$C45+Z46*$C46+Z47*$C47</f>
        <v>6</v>
      </c>
      <c r="AE48">
        <f>AD41*$C41+AD42*$C42+AD43*$C43+AD44*$C44+AD45*$C45+AD46*$C46+AD47*$C47</f>
        <v>6</v>
      </c>
    </row>
    <row r="49" spans="1:31">
      <c r="A49" t="s">
        <v>18</v>
      </c>
      <c r="B49" s="1" t="s">
        <v>30</v>
      </c>
      <c r="C49">
        <f>SUM(C50:C56)</f>
        <v>6</v>
      </c>
      <c r="D49" s="2">
        <f>SUM(D50:D56)</f>
        <v>1</v>
      </c>
      <c r="F49" s="7"/>
      <c r="J49" s="7"/>
    </row>
    <row r="50" spans="1:31">
      <c r="B50" s="4" t="s">
        <v>1</v>
      </c>
      <c r="C50">
        <v>1</v>
      </c>
      <c r="D50" s="2">
        <f>C50/C49</f>
        <v>0.16666666666666666</v>
      </c>
      <c r="F50" s="7">
        <v>0</v>
      </c>
      <c r="J50" s="7">
        <f t="shared" ref="J50:J56" si="29">F50</f>
        <v>0</v>
      </c>
      <c r="N50">
        <f t="shared" ref="N50:N56" si="30">J50</f>
        <v>0</v>
      </c>
      <c r="R50">
        <f t="shared" ref="R50:R56" si="31">N50</f>
        <v>0</v>
      </c>
      <c r="V50">
        <v>1</v>
      </c>
      <c r="X50">
        <v>1</v>
      </c>
      <c r="Z50">
        <f t="shared" ref="Z50:Z56" si="32">V50</f>
        <v>1</v>
      </c>
      <c r="AD50">
        <f t="shared" ref="AD50:AD56" si="33">Z50</f>
        <v>1</v>
      </c>
    </row>
    <row r="51" spans="1:31">
      <c r="B51" s="4" t="s">
        <v>2</v>
      </c>
      <c r="C51">
        <v>1</v>
      </c>
      <c r="D51" s="2">
        <f>C51/C49</f>
        <v>0.16666666666666666</v>
      </c>
      <c r="F51" s="7">
        <v>0</v>
      </c>
      <c r="J51" s="7">
        <f t="shared" si="29"/>
        <v>0</v>
      </c>
      <c r="N51">
        <f t="shared" si="30"/>
        <v>0</v>
      </c>
      <c r="R51">
        <f t="shared" si="31"/>
        <v>0</v>
      </c>
      <c r="V51">
        <v>1</v>
      </c>
      <c r="X51">
        <v>1</v>
      </c>
      <c r="Z51">
        <f t="shared" si="32"/>
        <v>1</v>
      </c>
      <c r="AD51">
        <f t="shared" si="33"/>
        <v>1</v>
      </c>
    </row>
    <row r="52" spans="1:31">
      <c r="B52" s="4" t="s">
        <v>5</v>
      </c>
      <c r="C52">
        <v>0</v>
      </c>
      <c r="D52" s="2">
        <f>C52/C49</f>
        <v>0</v>
      </c>
      <c r="F52" s="7">
        <v>0</v>
      </c>
      <c r="J52" s="7">
        <f t="shared" si="29"/>
        <v>0</v>
      </c>
      <c r="N52">
        <f t="shared" si="30"/>
        <v>0</v>
      </c>
      <c r="R52">
        <f t="shared" si="31"/>
        <v>0</v>
      </c>
      <c r="V52">
        <f t="shared" ref="V52:V56" si="34">R52</f>
        <v>0</v>
      </c>
      <c r="Z52">
        <f t="shared" si="32"/>
        <v>0</v>
      </c>
      <c r="AD52">
        <f t="shared" si="33"/>
        <v>0</v>
      </c>
    </row>
    <row r="53" spans="1:31">
      <c r="B53" s="4" t="s">
        <v>9</v>
      </c>
      <c r="C53">
        <v>1</v>
      </c>
      <c r="D53" s="2">
        <f>C53/C49</f>
        <v>0.16666666666666666</v>
      </c>
      <c r="F53" s="7">
        <v>0</v>
      </c>
      <c r="J53" s="7">
        <f t="shared" si="29"/>
        <v>0</v>
      </c>
      <c r="N53">
        <f t="shared" si="30"/>
        <v>0</v>
      </c>
      <c r="R53">
        <f t="shared" si="31"/>
        <v>0</v>
      </c>
      <c r="V53">
        <v>1</v>
      </c>
      <c r="X53">
        <v>1</v>
      </c>
      <c r="Z53">
        <f t="shared" si="32"/>
        <v>1</v>
      </c>
      <c r="AD53">
        <f t="shared" si="33"/>
        <v>1</v>
      </c>
    </row>
    <row r="54" spans="1:31">
      <c r="B54" s="4" t="s">
        <v>3</v>
      </c>
      <c r="C54">
        <v>0</v>
      </c>
      <c r="D54" s="2">
        <f>C54/C49</f>
        <v>0</v>
      </c>
      <c r="F54" s="7">
        <v>0</v>
      </c>
      <c r="J54" s="7">
        <f t="shared" si="29"/>
        <v>0</v>
      </c>
      <c r="N54">
        <f t="shared" si="30"/>
        <v>0</v>
      </c>
      <c r="R54">
        <f t="shared" si="31"/>
        <v>0</v>
      </c>
      <c r="V54">
        <f t="shared" si="34"/>
        <v>0</v>
      </c>
      <c r="Z54">
        <f t="shared" si="32"/>
        <v>0</v>
      </c>
      <c r="AD54">
        <f t="shared" si="33"/>
        <v>0</v>
      </c>
    </row>
    <row r="55" spans="1:31">
      <c r="B55" s="4" t="s">
        <v>4</v>
      </c>
      <c r="C55">
        <v>3</v>
      </c>
      <c r="D55" s="2">
        <f>C55/C49</f>
        <v>0.5</v>
      </c>
      <c r="F55" s="7">
        <v>0</v>
      </c>
      <c r="J55" s="7">
        <f t="shared" si="29"/>
        <v>0</v>
      </c>
      <c r="N55">
        <f t="shared" si="30"/>
        <v>0</v>
      </c>
      <c r="R55">
        <f t="shared" si="31"/>
        <v>0</v>
      </c>
      <c r="V55">
        <f t="shared" si="34"/>
        <v>0</v>
      </c>
      <c r="X55">
        <v>1</v>
      </c>
      <c r="Z55">
        <v>1</v>
      </c>
      <c r="AB55">
        <v>2</v>
      </c>
      <c r="AD55">
        <f t="shared" si="33"/>
        <v>1</v>
      </c>
    </row>
    <row r="56" spans="1:31">
      <c r="B56" s="4" t="s">
        <v>6</v>
      </c>
      <c r="C56">
        <v>0</v>
      </c>
      <c r="D56" s="2">
        <f>C56/C49</f>
        <v>0</v>
      </c>
      <c r="F56" s="7">
        <v>0</v>
      </c>
      <c r="J56" s="7">
        <f t="shared" si="29"/>
        <v>0</v>
      </c>
      <c r="N56">
        <f t="shared" si="30"/>
        <v>0</v>
      </c>
      <c r="R56">
        <f t="shared" si="31"/>
        <v>0</v>
      </c>
      <c r="V56">
        <f t="shared" si="34"/>
        <v>0</v>
      </c>
      <c r="Z56">
        <f t="shared" si="32"/>
        <v>0</v>
      </c>
      <c r="AD56">
        <f t="shared" si="33"/>
        <v>0</v>
      </c>
    </row>
    <row r="57" spans="1:31">
      <c r="B57" s="4"/>
      <c r="D57" s="2"/>
      <c r="F57" s="7"/>
      <c r="G57">
        <f>F50*$C50+F51*$C51+F52*$C52+F53*$C53+F54*$C54+F55*$C55+F56*$C56</f>
        <v>0</v>
      </c>
      <c r="J57" s="7"/>
      <c r="K57">
        <f>J50*$C50+J51*$C51+J52*$C52+J53*$C53+J54*$C54+J55*$C55+J56*$C56</f>
        <v>0</v>
      </c>
      <c r="O57">
        <f>N50*$C50+N51*$C51+N52*$C52+N53*$C53+N54*$C54+N55*$C55+N56*$C56</f>
        <v>0</v>
      </c>
      <c r="S57">
        <f>R50*$C50+R51*$C51+R52*$C52+R53*$C53+R54*$C54+R55*$C55+R56*$C56</f>
        <v>0</v>
      </c>
      <c r="W57">
        <f>V50*$C50+V51*$C51+V52*$C52+V53*$C53+V54*$C54+V55*$C55+V56*$C56</f>
        <v>3</v>
      </c>
      <c r="AA57">
        <f>Z50*$C50+Z51*$C51+Z52*$C52+Z53*$C53+Z54*$C54+Z55*$C55+Z56*$C56</f>
        <v>6</v>
      </c>
      <c r="AE57">
        <f>AD50*$C50+AD51*$C51+AD52*$C52+AD53*$C53+AD54*$C54+AD55*$C55+AD56*$C56</f>
        <v>6</v>
      </c>
    </row>
    <row r="58" spans="1:31">
      <c r="A58" t="s">
        <v>18</v>
      </c>
      <c r="B58" s="1" t="s">
        <v>35</v>
      </c>
      <c r="C58">
        <f>SUM(C59:C65)</f>
        <v>3</v>
      </c>
      <c r="D58" s="2">
        <f>SUM(D59:D65)</f>
        <v>1</v>
      </c>
      <c r="F58" s="7"/>
      <c r="J58" s="7"/>
    </row>
    <row r="59" spans="1:31">
      <c r="B59" s="4" t="s">
        <v>1</v>
      </c>
      <c r="C59">
        <v>1</v>
      </c>
      <c r="D59" s="2">
        <f>C59/C58</f>
        <v>0.33333333333333331</v>
      </c>
      <c r="F59" s="7">
        <v>0</v>
      </c>
      <c r="J59" s="7">
        <f t="shared" ref="J59:J65" si="35">F59</f>
        <v>0</v>
      </c>
      <c r="N59">
        <f t="shared" ref="N59:N65" si="36">J59</f>
        <v>0</v>
      </c>
      <c r="R59">
        <f t="shared" ref="R59:R65" si="37">N59</f>
        <v>0</v>
      </c>
      <c r="V59">
        <f t="shared" ref="V59:V65" si="38">R59</f>
        <v>0</v>
      </c>
      <c r="Z59">
        <v>1</v>
      </c>
      <c r="AB59">
        <v>1</v>
      </c>
      <c r="AD59">
        <f t="shared" ref="AD59:AD65" si="39">Z59</f>
        <v>1</v>
      </c>
    </row>
    <row r="60" spans="1:31">
      <c r="B60" s="4" t="s">
        <v>2</v>
      </c>
      <c r="C60">
        <v>0</v>
      </c>
      <c r="D60" s="2">
        <f>C60/C58</f>
        <v>0</v>
      </c>
      <c r="F60" s="7">
        <v>0</v>
      </c>
      <c r="J60" s="7">
        <f t="shared" si="35"/>
        <v>0</v>
      </c>
      <c r="N60">
        <f t="shared" si="36"/>
        <v>0</v>
      </c>
      <c r="R60">
        <f t="shared" si="37"/>
        <v>0</v>
      </c>
      <c r="V60">
        <f t="shared" si="38"/>
        <v>0</v>
      </c>
      <c r="Z60">
        <f t="shared" ref="Z60:Z63" si="40">V60</f>
        <v>0</v>
      </c>
      <c r="AD60">
        <f t="shared" si="39"/>
        <v>0</v>
      </c>
    </row>
    <row r="61" spans="1:31">
      <c r="B61" s="4" t="s">
        <v>5</v>
      </c>
      <c r="C61">
        <v>0</v>
      </c>
      <c r="D61" s="2">
        <f>C61/C58</f>
        <v>0</v>
      </c>
      <c r="F61" s="7">
        <v>0</v>
      </c>
      <c r="J61" s="7">
        <f t="shared" si="35"/>
        <v>0</v>
      </c>
      <c r="N61">
        <f t="shared" si="36"/>
        <v>0</v>
      </c>
      <c r="R61">
        <f t="shared" si="37"/>
        <v>0</v>
      </c>
      <c r="V61">
        <f t="shared" si="38"/>
        <v>0</v>
      </c>
      <c r="Z61">
        <f t="shared" si="40"/>
        <v>0</v>
      </c>
      <c r="AD61">
        <f t="shared" si="39"/>
        <v>0</v>
      </c>
    </row>
    <row r="62" spans="1:31">
      <c r="B62" s="4" t="s">
        <v>9</v>
      </c>
      <c r="C62">
        <v>0</v>
      </c>
      <c r="D62" s="2">
        <f>C62/C58</f>
        <v>0</v>
      </c>
      <c r="F62" s="7">
        <v>0</v>
      </c>
      <c r="J62" s="7">
        <f t="shared" si="35"/>
        <v>0</v>
      </c>
      <c r="N62">
        <f t="shared" si="36"/>
        <v>0</v>
      </c>
      <c r="R62">
        <f t="shared" si="37"/>
        <v>0</v>
      </c>
      <c r="V62">
        <f t="shared" si="38"/>
        <v>0</v>
      </c>
      <c r="Z62">
        <f t="shared" si="40"/>
        <v>0</v>
      </c>
      <c r="AD62">
        <f t="shared" si="39"/>
        <v>0</v>
      </c>
    </row>
    <row r="63" spans="1:31">
      <c r="B63" s="4" t="s">
        <v>3</v>
      </c>
      <c r="C63">
        <v>0</v>
      </c>
      <c r="D63" s="2">
        <f>C63/C58</f>
        <v>0</v>
      </c>
      <c r="F63" s="7">
        <v>0</v>
      </c>
      <c r="J63" s="7">
        <f t="shared" si="35"/>
        <v>0</v>
      </c>
      <c r="N63">
        <f t="shared" si="36"/>
        <v>0</v>
      </c>
      <c r="R63">
        <f t="shared" si="37"/>
        <v>0</v>
      </c>
      <c r="V63">
        <f t="shared" si="38"/>
        <v>0</v>
      </c>
      <c r="Z63">
        <f t="shared" si="40"/>
        <v>0</v>
      </c>
      <c r="AD63">
        <f t="shared" si="39"/>
        <v>0</v>
      </c>
    </row>
    <row r="64" spans="1:31">
      <c r="B64" s="4" t="s">
        <v>4</v>
      </c>
      <c r="C64">
        <v>1</v>
      </c>
      <c r="D64" s="2">
        <f>C64/C58</f>
        <v>0.33333333333333331</v>
      </c>
      <c r="F64" s="7">
        <v>0</v>
      </c>
      <c r="J64" s="7">
        <f t="shared" si="35"/>
        <v>0</v>
      </c>
      <c r="N64">
        <f t="shared" si="36"/>
        <v>0</v>
      </c>
      <c r="R64">
        <f t="shared" si="37"/>
        <v>0</v>
      </c>
      <c r="V64">
        <f t="shared" si="38"/>
        <v>0</v>
      </c>
      <c r="Z64">
        <v>1</v>
      </c>
      <c r="AB64">
        <v>1</v>
      </c>
      <c r="AD64">
        <f t="shared" si="39"/>
        <v>1</v>
      </c>
    </row>
    <row r="65" spans="2:35">
      <c r="B65" s="4" t="s">
        <v>6</v>
      </c>
      <c r="C65">
        <v>1</v>
      </c>
      <c r="D65" s="2">
        <f>C65/C58</f>
        <v>0.33333333333333331</v>
      </c>
      <c r="F65" s="7">
        <v>0</v>
      </c>
      <c r="J65" s="7">
        <f t="shared" si="35"/>
        <v>0</v>
      </c>
      <c r="N65">
        <f t="shared" si="36"/>
        <v>0</v>
      </c>
      <c r="R65">
        <f t="shared" si="37"/>
        <v>0</v>
      </c>
      <c r="V65">
        <f t="shared" si="38"/>
        <v>0</v>
      </c>
      <c r="Z65">
        <v>1</v>
      </c>
      <c r="AB65">
        <v>1</v>
      </c>
      <c r="AD65">
        <f t="shared" si="39"/>
        <v>1</v>
      </c>
    </row>
    <row r="66" spans="2:35">
      <c r="F66" s="7"/>
      <c r="J66" s="7"/>
      <c r="K66">
        <f>J59*$C59+J60*$C60+J61*$C61+J62*$C62+J63*$C63+J64*$C64+J65*$C65</f>
        <v>0</v>
      </c>
      <c r="O66">
        <f>N59*$C59+N60*$C60+N61*$C61+N62*$C62+N63*$C63+N64*$C64+N65*$C65</f>
        <v>0</v>
      </c>
      <c r="S66">
        <f>R59*$C59+R60*$C60+R61*$C61+R62*$C62+R63*$C63+R64*$C64+R65*$C65</f>
        <v>0</v>
      </c>
      <c r="W66">
        <f>V59*$C59+V60*$C60+V61*$C61+V62*$C62+V63*$C63+V64*$C64+V65*$C65</f>
        <v>0</v>
      </c>
      <c r="AA66">
        <f>Z59*$C59+Z60*$C60+Z61*$C61+Z62*$C62+Z63*$C63+Z64*$C64+Z65*$C65</f>
        <v>3</v>
      </c>
      <c r="AE66">
        <f>AD59*$C59+AD60*$C60+AD61*$C61+AD62*$C62+AD63*$C63+AD64*$C64+AD65*$C65</f>
        <v>3</v>
      </c>
    </row>
    <row r="67" spans="2:35">
      <c r="F67" s="7"/>
      <c r="J67" s="7"/>
      <c r="S67">
        <f>SUM(S4:S66)</f>
        <v>13</v>
      </c>
      <c r="W67">
        <f>SUM(W4:W66)</f>
        <v>16</v>
      </c>
      <c r="AA67">
        <f>SUM(AA4:AA66)</f>
        <v>25</v>
      </c>
      <c r="AE67">
        <f>SUM(AE4:AE66)</f>
        <v>25</v>
      </c>
    </row>
    <row r="68" spans="2:35">
      <c r="F68" s="7"/>
      <c r="J68" s="7"/>
    </row>
    <row r="69" spans="2:35">
      <c r="F69" s="7"/>
      <c r="J69" s="7"/>
    </row>
    <row r="70" spans="2:35">
      <c r="F70" s="7"/>
      <c r="J70" s="7"/>
      <c r="AI70">
        <f>SUM(Activities!AA4:AA66)/'Project Plan'!$C$14</f>
        <v>1</v>
      </c>
    </row>
    <row r="71" spans="2:35">
      <c r="F71" s="7"/>
      <c r="J71" s="7"/>
    </row>
    <row r="72" spans="2:35">
      <c r="F72" s="7"/>
      <c r="J72" s="7"/>
    </row>
    <row r="73" spans="2:35">
      <c r="F73" s="7"/>
      <c r="J73" s="7"/>
    </row>
    <row r="74" spans="2:35">
      <c r="F74" s="7"/>
      <c r="J74" s="7"/>
    </row>
    <row r="75" spans="2:35">
      <c r="F75" s="7">
        <v>0</v>
      </c>
      <c r="J75" s="7"/>
      <c r="N75">
        <f t="shared" ref="N75:N101" si="41">J75</f>
        <v>0</v>
      </c>
    </row>
    <row r="76" spans="2:35">
      <c r="F76" s="7">
        <v>0</v>
      </c>
      <c r="J76" s="7"/>
      <c r="N76">
        <f t="shared" si="41"/>
        <v>0</v>
      </c>
    </row>
    <row r="77" spans="2:35">
      <c r="F77" s="7">
        <v>0</v>
      </c>
      <c r="J77" s="7"/>
      <c r="N77">
        <f t="shared" si="41"/>
        <v>0</v>
      </c>
    </row>
    <row r="78" spans="2:35">
      <c r="F78" s="7">
        <v>0</v>
      </c>
      <c r="J78" s="7"/>
      <c r="N78">
        <f t="shared" si="41"/>
        <v>0</v>
      </c>
    </row>
    <row r="79" spans="2:35">
      <c r="F79" s="7">
        <v>0</v>
      </c>
      <c r="J79" s="7"/>
      <c r="N79">
        <f t="shared" si="41"/>
        <v>0</v>
      </c>
    </row>
    <row r="80" spans="2:35">
      <c r="F80" s="7">
        <v>0</v>
      </c>
      <c r="J80" s="7"/>
      <c r="N80">
        <f t="shared" si="41"/>
        <v>0</v>
      </c>
    </row>
    <row r="81" spans="6:14">
      <c r="F81" s="7">
        <v>0</v>
      </c>
      <c r="J81" s="7"/>
      <c r="N81">
        <f t="shared" si="41"/>
        <v>0</v>
      </c>
    </row>
    <row r="82" spans="6:14">
      <c r="F82" s="7">
        <v>0</v>
      </c>
      <c r="J82" s="7"/>
      <c r="N82">
        <f t="shared" si="41"/>
        <v>0</v>
      </c>
    </row>
    <row r="83" spans="6:14">
      <c r="F83" s="7">
        <v>0</v>
      </c>
      <c r="J83" s="7"/>
      <c r="N83">
        <f t="shared" si="41"/>
        <v>0</v>
      </c>
    </row>
    <row r="84" spans="6:14">
      <c r="F84" s="7">
        <v>0</v>
      </c>
      <c r="J84" s="7"/>
      <c r="N84">
        <f t="shared" si="41"/>
        <v>0</v>
      </c>
    </row>
    <row r="85" spans="6:14">
      <c r="F85" s="7">
        <v>0</v>
      </c>
      <c r="J85" s="7"/>
      <c r="N85">
        <f t="shared" si="41"/>
        <v>0</v>
      </c>
    </row>
    <row r="86" spans="6:14">
      <c r="F86" s="7">
        <v>0</v>
      </c>
      <c r="J86" s="7"/>
      <c r="N86">
        <f t="shared" si="41"/>
        <v>0</v>
      </c>
    </row>
    <row r="87" spans="6:14">
      <c r="F87" s="7">
        <v>0</v>
      </c>
      <c r="J87" s="7"/>
      <c r="N87">
        <f t="shared" si="41"/>
        <v>0</v>
      </c>
    </row>
    <row r="88" spans="6:14">
      <c r="F88" s="7">
        <v>0</v>
      </c>
      <c r="J88" s="7"/>
      <c r="N88">
        <f t="shared" si="41"/>
        <v>0</v>
      </c>
    </row>
    <row r="89" spans="6:14">
      <c r="F89" s="7">
        <v>0</v>
      </c>
      <c r="J89" s="7"/>
      <c r="N89">
        <f t="shared" si="41"/>
        <v>0</v>
      </c>
    </row>
    <row r="90" spans="6:14">
      <c r="F90" s="7">
        <v>0</v>
      </c>
      <c r="J90" s="7"/>
      <c r="N90">
        <f t="shared" si="41"/>
        <v>0</v>
      </c>
    </row>
    <row r="91" spans="6:14">
      <c r="F91" s="7">
        <v>0</v>
      </c>
      <c r="J91" s="7"/>
      <c r="N91">
        <f t="shared" si="41"/>
        <v>0</v>
      </c>
    </row>
    <row r="92" spans="6:14">
      <c r="F92" s="7">
        <v>0</v>
      </c>
      <c r="J92" s="7"/>
      <c r="N92">
        <f t="shared" si="41"/>
        <v>0</v>
      </c>
    </row>
    <row r="93" spans="6:14">
      <c r="F93" s="7">
        <v>0</v>
      </c>
      <c r="J93" s="7"/>
      <c r="N93">
        <f t="shared" si="41"/>
        <v>0</v>
      </c>
    </row>
    <row r="94" spans="6:14">
      <c r="F94" s="7">
        <v>0</v>
      </c>
      <c r="J94" s="7"/>
      <c r="N94">
        <f t="shared" si="41"/>
        <v>0</v>
      </c>
    </row>
    <row r="95" spans="6:14">
      <c r="F95" s="7">
        <v>0</v>
      </c>
      <c r="J95" s="7"/>
      <c r="N95">
        <f t="shared" si="41"/>
        <v>0</v>
      </c>
    </row>
    <row r="96" spans="6:14">
      <c r="F96" s="7">
        <v>0</v>
      </c>
      <c r="J96" s="7"/>
      <c r="N96">
        <f t="shared" si="41"/>
        <v>0</v>
      </c>
    </row>
    <row r="97" spans="6:14">
      <c r="F97" s="7">
        <v>0</v>
      </c>
      <c r="J97" s="7"/>
      <c r="N97">
        <f t="shared" si="41"/>
        <v>0</v>
      </c>
    </row>
    <row r="98" spans="6:14">
      <c r="F98" s="7">
        <v>0</v>
      </c>
      <c r="J98" s="7"/>
      <c r="N98">
        <f t="shared" si="41"/>
        <v>0</v>
      </c>
    </row>
    <row r="99" spans="6:14">
      <c r="F99" s="7">
        <v>0</v>
      </c>
      <c r="J99" s="7"/>
      <c r="N99">
        <f t="shared" si="41"/>
        <v>0</v>
      </c>
    </row>
    <row r="100" spans="6:14">
      <c r="F100" s="7">
        <v>0</v>
      </c>
      <c r="J100" s="7"/>
      <c r="N100">
        <f t="shared" si="41"/>
        <v>0</v>
      </c>
    </row>
    <row r="101" spans="6:14">
      <c r="F101" s="7">
        <v>0</v>
      </c>
      <c r="J101" s="7"/>
      <c r="N101">
        <f t="shared" si="41"/>
        <v>0</v>
      </c>
    </row>
    <row r="102" spans="6:14">
      <c r="F102" s="7">
        <v>0</v>
      </c>
      <c r="J102" s="7"/>
      <c r="N102">
        <f t="shared" ref="N102:N131" si="42">J102</f>
        <v>0</v>
      </c>
    </row>
    <row r="103" spans="6:14">
      <c r="F103" s="7">
        <v>0</v>
      </c>
      <c r="J103" s="7"/>
      <c r="N103">
        <f t="shared" si="42"/>
        <v>0</v>
      </c>
    </row>
    <row r="104" spans="6:14">
      <c r="F104" s="7">
        <v>0</v>
      </c>
      <c r="J104" s="7"/>
      <c r="N104">
        <f t="shared" si="42"/>
        <v>0</v>
      </c>
    </row>
    <row r="105" spans="6:14">
      <c r="F105" s="7">
        <v>0</v>
      </c>
      <c r="J105" s="7"/>
      <c r="N105">
        <f t="shared" si="42"/>
        <v>0</v>
      </c>
    </row>
    <row r="106" spans="6:14">
      <c r="F106" s="7">
        <v>0</v>
      </c>
      <c r="J106" s="7"/>
      <c r="N106">
        <f t="shared" si="42"/>
        <v>0</v>
      </c>
    </row>
    <row r="107" spans="6:14">
      <c r="F107" s="7">
        <v>0</v>
      </c>
      <c r="J107" s="7"/>
      <c r="N107">
        <f t="shared" si="42"/>
        <v>0</v>
      </c>
    </row>
    <row r="108" spans="6:14">
      <c r="F108" s="7">
        <v>0</v>
      </c>
      <c r="J108" s="7"/>
      <c r="N108">
        <f t="shared" si="42"/>
        <v>0</v>
      </c>
    </row>
    <row r="109" spans="6:14">
      <c r="F109" s="7">
        <v>0</v>
      </c>
      <c r="J109" s="7"/>
      <c r="N109">
        <f t="shared" si="42"/>
        <v>0</v>
      </c>
    </row>
    <row r="110" spans="6:14">
      <c r="F110" s="7">
        <v>0</v>
      </c>
      <c r="J110" s="7"/>
      <c r="N110">
        <f t="shared" si="42"/>
        <v>0</v>
      </c>
    </row>
    <row r="111" spans="6:14">
      <c r="F111" s="7">
        <v>0</v>
      </c>
      <c r="J111" s="7"/>
      <c r="N111">
        <f t="shared" si="42"/>
        <v>0</v>
      </c>
    </row>
    <row r="112" spans="6:14">
      <c r="F112" s="7">
        <v>0</v>
      </c>
      <c r="J112" s="7"/>
      <c r="N112">
        <f t="shared" si="42"/>
        <v>0</v>
      </c>
    </row>
    <row r="113" spans="6:14">
      <c r="F113" s="7">
        <v>0</v>
      </c>
      <c r="J113" s="7"/>
      <c r="N113">
        <f t="shared" si="42"/>
        <v>0</v>
      </c>
    </row>
    <row r="114" spans="6:14">
      <c r="F114" s="7">
        <v>0</v>
      </c>
      <c r="J114" s="7"/>
      <c r="N114">
        <f t="shared" si="42"/>
        <v>0</v>
      </c>
    </row>
    <row r="115" spans="6:14">
      <c r="F115" s="7">
        <v>0</v>
      </c>
      <c r="J115" s="7"/>
      <c r="N115">
        <f t="shared" si="42"/>
        <v>0</v>
      </c>
    </row>
    <row r="116" spans="6:14">
      <c r="F116" s="7">
        <v>0</v>
      </c>
      <c r="J116" s="7"/>
      <c r="N116">
        <f t="shared" si="42"/>
        <v>0</v>
      </c>
    </row>
    <row r="117" spans="6:14">
      <c r="F117" s="7">
        <v>0</v>
      </c>
      <c r="J117" s="7"/>
      <c r="N117">
        <f t="shared" si="42"/>
        <v>0</v>
      </c>
    </row>
    <row r="118" spans="6:14">
      <c r="F118" s="7">
        <v>0</v>
      </c>
      <c r="J118" s="7"/>
      <c r="N118">
        <f t="shared" si="42"/>
        <v>0</v>
      </c>
    </row>
    <row r="119" spans="6:14">
      <c r="F119" s="7">
        <v>0</v>
      </c>
      <c r="J119" s="7"/>
      <c r="N119">
        <f t="shared" si="42"/>
        <v>0</v>
      </c>
    </row>
    <row r="120" spans="6:14">
      <c r="F120" s="7">
        <v>0</v>
      </c>
      <c r="J120" s="7"/>
      <c r="N120">
        <f t="shared" si="42"/>
        <v>0</v>
      </c>
    </row>
    <row r="121" spans="6:14">
      <c r="F121" s="7">
        <v>0</v>
      </c>
      <c r="J121" s="7"/>
      <c r="N121">
        <f t="shared" si="42"/>
        <v>0</v>
      </c>
    </row>
    <row r="122" spans="6:14">
      <c r="F122" s="7">
        <v>0</v>
      </c>
      <c r="J122" s="7"/>
      <c r="N122">
        <f t="shared" si="42"/>
        <v>0</v>
      </c>
    </row>
    <row r="123" spans="6:14">
      <c r="F123" s="7">
        <v>0</v>
      </c>
      <c r="J123" s="7"/>
      <c r="N123">
        <f t="shared" si="42"/>
        <v>0</v>
      </c>
    </row>
    <row r="124" spans="6:14">
      <c r="F124" s="7">
        <v>0</v>
      </c>
      <c r="J124" s="7"/>
      <c r="N124">
        <f t="shared" si="42"/>
        <v>0</v>
      </c>
    </row>
    <row r="125" spans="6:14">
      <c r="F125" s="7">
        <v>0</v>
      </c>
      <c r="J125" s="7"/>
      <c r="N125">
        <f t="shared" si="42"/>
        <v>0</v>
      </c>
    </row>
    <row r="126" spans="6:14">
      <c r="F126" s="7">
        <v>0</v>
      </c>
      <c r="J126" s="7"/>
      <c r="N126">
        <f t="shared" si="42"/>
        <v>0</v>
      </c>
    </row>
    <row r="127" spans="6:14">
      <c r="F127" s="7">
        <v>0</v>
      </c>
      <c r="J127" s="7"/>
      <c r="N127">
        <f t="shared" si="42"/>
        <v>0</v>
      </c>
    </row>
    <row r="128" spans="6:14">
      <c r="F128" s="7">
        <v>0</v>
      </c>
      <c r="J128" s="7"/>
      <c r="N128">
        <f t="shared" si="42"/>
        <v>0</v>
      </c>
    </row>
    <row r="129" spans="6:14">
      <c r="F129" s="7">
        <v>0</v>
      </c>
      <c r="J129" s="7"/>
      <c r="N129">
        <f t="shared" si="42"/>
        <v>0</v>
      </c>
    </row>
    <row r="130" spans="6:14">
      <c r="F130" s="7">
        <v>0</v>
      </c>
      <c r="J130" s="7"/>
      <c r="N130">
        <f t="shared" si="42"/>
        <v>0</v>
      </c>
    </row>
    <row r="131" spans="6:14">
      <c r="F131" s="7">
        <v>0</v>
      </c>
      <c r="J131" s="7"/>
      <c r="N131">
        <f t="shared" si="42"/>
        <v>0</v>
      </c>
    </row>
    <row r="132" spans="6:14">
      <c r="F132" s="7">
        <v>0</v>
      </c>
      <c r="J132" s="7"/>
    </row>
    <row r="133" spans="6:14">
      <c r="F133" s="7">
        <v>0</v>
      </c>
      <c r="J133" s="7"/>
    </row>
    <row r="134" spans="6:14">
      <c r="F134" s="7">
        <v>0</v>
      </c>
      <c r="J134" s="7"/>
    </row>
    <row r="135" spans="6:14">
      <c r="F135" s="7">
        <v>0</v>
      </c>
      <c r="J135" s="7"/>
    </row>
    <row r="136" spans="6:14">
      <c r="F136" s="7">
        <v>0</v>
      </c>
      <c r="J136" s="7"/>
    </row>
    <row r="137" spans="6:14">
      <c r="F137" s="7">
        <v>0</v>
      </c>
      <c r="J137" s="7"/>
    </row>
    <row r="138" spans="6:14">
      <c r="F138" s="7">
        <v>0</v>
      </c>
      <c r="J138" s="7"/>
    </row>
    <row r="139" spans="6:14">
      <c r="F139" s="7">
        <v>0</v>
      </c>
      <c r="J139" s="7"/>
    </row>
    <row r="140" spans="6:14">
      <c r="F140" s="7">
        <v>0</v>
      </c>
      <c r="J140" s="7"/>
    </row>
    <row r="141" spans="6:14">
      <c r="F141" s="7">
        <v>0</v>
      </c>
      <c r="J141" s="7"/>
    </row>
    <row r="142" spans="6:14">
      <c r="F142" s="7">
        <v>0</v>
      </c>
      <c r="J142" s="7"/>
    </row>
    <row r="143" spans="6:14">
      <c r="F143" s="7">
        <v>0</v>
      </c>
      <c r="J143" s="7"/>
    </row>
    <row r="144" spans="6:14">
      <c r="F144" s="7">
        <v>0</v>
      </c>
      <c r="J144" s="7"/>
    </row>
    <row r="145" spans="6:10">
      <c r="F145" s="7">
        <v>0</v>
      </c>
      <c r="J145" s="7"/>
    </row>
    <row r="146" spans="6:10">
      <c r="F146" s="7">
        <v>0</v>
      </c>
      <c r="J146" s="7"/>
    </row>
    <row r="147" spans="6:10">
      <c r="F147" s="7">
        <v>0</v>
      </c>
      <c r="J147" s="7"/>
    </row>
    <row r="148" spans="6:10">
      <c r="F148" s="7">
        <v>0</v>
      </c>
      <c r="J148" s="7"/>
    </row>
    <row r="149" spans="6:10">
      <c r="F149" s="7">
        <v>0</v>
      </c>
      <c r="J149" s="7"/>
    </row>
    <row r="150" spans="6:10">
      <c r="F150" s="7">
        <v>0</v>
      </c>
      <c r="J150" s="7"/>
    </row>
    <row r="151" spans="6:10">
      <c r="F151" s="7">
        <v>0</v>
      </c>
      <c r="J151" s="7"/>
    </row>
    <row r="152" spans="6:10">
      <c r="F152" s="7">
        <v>0</v>
      </c>
      <c r="J152" s="7"/>
    </row>
    <row r="153" spans="6:10">
      <c r="F153" s="7">
        <v>0</v>
      </c>
      <c r="J153" s="7"/>
    </row>
    <row r="154" spans="6:10">
      <c r="F154" s="7">
        <v>0</v>
      </c>
      <c r="J154" s="7"/>
    </row>
    <row r="155" spans="6:10">
      <c r="F155" s="7">
        <v>0</v>
      </c>
      <c r="J155" s="7"/>
    </row>
    <row r="156" spans="6:10">
      <c r="F156" s="7">
        <v>0</v>
      </c>
      <c r="J156" s="7"/>
    </row>
    <row r="157" spans="6:10">
      <c r="F157" s="7">
        <v>0</v>
      </c>
      <c r="J157" s="7"/>
    </row>
    <row r="158" spans="6:10">
      <c r="F158" s="7">
        <v>0</v>
      </c>
      <c r="J158" s="7"/>
    </row>
    <row r="159" spans="6:10">
      <c r="F159" s="7">
        <v>0</v>
      </c>
      <c r="J159" s="7"/>
    </row>
    <row r="160" spans="6:10">
      <c r="F160" s="7">
        <v>0</v>
      </c>
      <c r="J160" s="7"/>
    </row>
    <row r="161" spans="6:10">
      <c r="F161" s="7">
        <v>0</v>
      </c>
      <c r="J161" s="7"/>
    </row>
    <row r="162" spans="6:10">
      <c r="F162" s="7">
        <v>0</v>
      </c>
      <c r="J162" s="7"/>
    </row>
    <row r="163" spans="6:10">
      <c r="F163" s="7">
        <v>0</v>
      </c>
      <c r="J163" s="7"/>
    </row>
    <row r="164" spans="6:10">
      <c r="F164" s="7">
        <v>0</v>
      </c>
      <c r="J164" s="7"/>
    </row>
    <row r="165" spans="6:10">
      <c r="F165" s="7">
        <v>0</v>
      </c>
      <c r="J165" s="7"/>
    </row>
    <row r="166" spans="6:10">
      <c r="F166" s="7">
        <v>0</v>
      </c>
      <c r="J166" s="7"/>
    </row>
    <row r="167" spans="6:10">
      <c r="F167" s="7">
        <v>0</v>
      </c>
      <c r="J167" s="7"/>
    </row>
    <row r="168" spans="6:10">
      <c r="F168" s="7">
        <v>0</v>
      </c>
      <c r="J168" s="7"/>
    </row>
    <row r="169" spans="6:10">
      <c r="F169" s="7">
        <v>0</v>
      </c>
      <c r="J169" s="7"/>
    </row>
    <row r="170" spans="6:10">
      <c r="F170" s="7">
        <v>0</v>
      </c>
      <c r="J170" s="7"/>
    </row>
    <row r="171" spans="6:10">
      <c r="F171" s="7">
        <v>0</v>
      </c>
      <c r="J171" s="7"/>
    </row>
    <row r="172" spans="6:10">
      <c r="F172" s="7">
        <v>0</v>
      </c>
      <c r="J172" s="7"/>
    </row>
    <row r="173" spans="6:10">
      <c r="F173" s="7">
        <v>0</v>
      </c>
      <c r="J173" s="7"/>
    </row>
    <row r="174" spans="6:10">
      <c r="F174" s="7">
        <v>0</v>
      </c>
      <c r="J174" s="7"/>
    </row>
    <row r="175" spans="6:10">
      <c r="F175" s="7">
        <v>0</v>
      </c>
      <c r="J175" s="7"/>
    </row>
    <row r="176" spans="6:10">
      <c r="F176" s="7">
        <v>0</v>
      </c>
      <c r="J176" s="7"/>
    </row>
    <row r="177" spans="6:10">
      <c r="F177" s="7">
        <v>0</v>
      </c>
      <c r="J177" s="7"/>
    </row>
    <row r="178" spans="6:10">
      <c r="F178" s="7">
        <v>0</v>
      </c>
      <c r="J178" s="7"/>
    </row>
    <row r="179" spans="6:10">
      <c r="F179" s="7">
        <v>0</v>
      </c>
      <c r="J179" s="7"/>
    </row>
    <row r="180" spans="6:10">
      <c r="F180" s="7">
        <v>0</v>
      </c>
      <c r="J180" s="7"/>
    </row>
    <row r="181" spans="6:10">
      <c r="F181" s="7">
        <v>0</v>
      </c>
      <c r="J181" s="7"/>
    </row>
    <row r="182" spans="6:10">
      <c r="F182" s="7">
        <v>0</v>
      </c>
      <c r="J182" s="7"/>
    </row>
    <row r="183" spans="6:10">
      <c r="F183" s="7">
        <v>0</v>
      </c>
      <c r="J183" s="7"/>
    </row>
    <row r="184" spans="6:10">
      <c r="F184" s="7">
        <v>0</v>
      </c>
      <c r="J184" s="7"/>
    </row>
    <row r="185" spans="6:10">
      <c r="F185" s="7">
        <v>0</v>
      </c>
      <c r="J185" s="7"/>
    </row>
    <row r="186" spans="6:10">
      <c r="F186" s="7">
        <v>0</v>
      </c>
      <c r="J186" s="7"/>
    </row>
    <row r="187" spans="6:10">
      <c r="F187" s="7">
        <v>0</v>
      </c>
      <c r="J187" s="7"/>
    </row>
    <row r="188" spans="6:10">
      <c r="F188" s="7">
        <v>0</v>
      </c>
      <c r="J188" s="7"/>
    </row>
    <row r="189" spans="6:10">
      <c r="F189" s="7">
        <v>0</v>
      </c>
      <c r="J189" s="7"/>
    </row>
    <row r="190" spans="6:10">
      <c r="F190" s="7">
        <v>0</v>
      </c>
      <c r="J190" s="7"/>
    </row>
    <row r="191" spans="6:10">
      <c r="F191" s="7">
        <v>0</v>
      </c>
      <c r="J191" s="7"/>
    </row>
    <row r="192" spans="6:10">
      <c r="F192" s="7">
        <v>0</v>
      </c>
      <c r="J192" s="7"/>
    </row>
    <row r="193" spans="6:10">
      <c r="F193" s="7">
        <v>0</v>
      </c>
      <c r="J193" s="7"/>
    </row>
    <row r="194" spans="6:10">
      <c r="F194" s="7">
        <v>0</v>
      </c>
      <c r="J194" s="7"/>
    </row>
    <row r="195" spans="6:10">
      <c r="F195" s="7">
        <v>0</v>
      </c>
      <c r="J195" s="7"/>
    </row>
    <row r="196" spans="6:10">
      <c r="F196" s="7">
        <v>0</v>
      </c>
      <c r="J196" s="7"/>
    </row>
    <row r="197" spans="6:10">
      <c r="F197" s="7">
        <v>0</v>
      </c>
      <c r="J197" s="7"/>
    </row>
    <row r="198" spans="6:10">
      <c r="F198" s="7">
        <v>0</v>
      </c>
      <c r="J198" s="7"/>
    </row>
    <row r="199" spans="6:10">
      <c r="F199" s="7">
        <v>0</v>
      </c>
      <c r="J199" s="7"/>
    </row>
    <row r="200" spans="6:10">
      <c r="F200" s="7">
        <v>0</v>
      </c>
      <c r="J200" s="7"/>
    </row>
    <row r="201" spans="6:10">
      <c r="F201" s="7">
        <v>0</v>
      </c>
      <c r="J201" s="7"/>
    </row>
    <row r="202" spans="6:10">
      <c r="F202" s="7">
        <v>0</v>
      </c>
      <c r="J202" s="7"/>
    </row>
    <row r="203" spans="6:10">
      <c r="F203" s="7">
        <v>0</v>
      </c>
      <c r="J203" s="7"/>
    </row>
    <row r="204" spans="6:10">
      <c r="F204" s="7">
        <v>0</v>
      </c>
      <c r="J204" s="7"/>
    </row>
    <row r="205" spans="6:10">
      <c r="F205" s="7">
        <v>0</v>
      </c>
      <c r="J205" s="7"/>
    </row>
    <row r="206" spans="6:10">
      <c r="F206" s="7">
        <v>0</v>
      </c>
      <c r="J206" s="7"/>
    </row>
    <row r="207" spans="6:10">
      <c r="F207" s="7">
        <v>0</v>
      </c>
      <c r="J207" s="7"/>
    </row>
    <row r="208" spans="6:10">
      <c r="F208" s="7">
        <v>0</v>
      </c>
      <c r="J208" s="7"/>
    </row>
    <row r="209" spans="6:10">
      <c r="F209" s="7">
        <v>0</v>
      </c>
      <c r="J209" s="7"/>
    </row>
    <row r="210" spans="6:10">
      <c r="F210" s="7">
        <v>0</v>
      </c>
      <c r="J210" s="7"/>
    </row>
    <row r="211" spans="6:10">
      <c r="F211" s="7">
        <v>0</v>
      </c>
      <c r="J211" s="7"/>
    </row>
    <row r="212" spans="6:10">
      <c r="F212" s="7">
        <v>0</v>
      </c>
      <c r="J212" s="7"/>
    </row>
    <row r="213" spans="6:10">
      <c r="F213" s="7">
        <v>0</v>
      </c>
      <c r="J213" s="7"/>
    </row>
    <row r="214" spans="6:10">
      <c r="F214" s="7">
        <v>0</v>
      </c>
      <c r="J214" s="7"/>
    </row>
    <row r="215" spans="6:10">
      <c r="F215" s="7">
        <v>0</v>
      </c>
      <c r="J215" s="7"/>
    </row>
    <row r="216" spans="6:10">
      <c r="F216" s="7">
        <v>0</v>
      </c>
      <c r="J216" s="7"/>
    </row>
    <row r="217" spans="6:10">
      <c r="F217" s="7">
        <v>0</v>
      </c>
      <c r="J217" s="7"/>
    </row>
    <row r="218" spans="6:10">
      <c r="F218" s="7">
        <v>0</v>
      </c>
      <c r="J218" s="7"/>
    </row>
    <row r="219" spans="6:10">
      <c r="F219" s="7">
        <v>0</v>
      </c>
      <c r="J219" s="7"/>
    </row>
    <row r="220" spans="6:10">
      <c r="F220" s="7">
        <v>0</v>
      </c>
      <c r="J220" s="7"/>
    </row>
    <row r="221" spans="6:10">
      <c r="F221" s="7">
        <v>0</v>
      </c>
      <c r="J221" s="7"/>
    </row>
    <row r="222" spans="6:10">
      <c r="F222" s="7">
        <v>0</v>
      </c>
      <c r="J222" s="7"/>
    </row>
    <row r="223" spans="6:10">
      <c r="F223" s="7">
        <v>0</v>
      </c>
      <c r="J223" s="7"/>
    </row>
    <row r="224" spans="6:10">
      <c r="F224" s="7">
        <v>0</v>
      </c>
      <c r="J224" s="7"/>
    </row>
    <row r="225" spans="6:10">
      <c r="F225" s="7">
        <v>0</v>
      </c>
      <c r="J225" s="7"/>
    </row>
    <row r="226" spans="6:10">
      <c r="F226" s="7">
        <v>0</v>
      </c>
      <c r="J226" s="7"/>
    </row>
    <row r="227" spans="6:10">
      <c r="F227" s="7">
        <v>0</v>
      </c>
      <c r="J227" s="7"/>
    </row>
    <row r="228" spans="6:10">
      <c r="F228" s="7">
        <v>0</v>
      </c>
      <c r="J228" s="7"/>
    </row>
    <row r="229" spans="6:10">
      <c r="F229" s="7">
        <v>0</v>
      </c>
      <c r="J229" s="7"/>
    </row>
    <row r="230" spans="6:10">
      <c r="F230" s="7">
        <v>0</v>
      </c>
      <c r="J230" s="7"/>
    </row>
    <row r="231" spans="6:10">
      <c r="F231" s="7">
        <v>0</v>
      </c>
      <c r="J231" s="7"/>
    </row>
    <row r="232" spans="6:10">
      <c r="F232" s="7">
        <v>0</v>
      </c>
      <c r="J232" s="7"/>
    </row>
    <row r="233" spans="6:10">
      <c r="F233" s="7">
        <v>0</v>
      </c>
      <c r="J233" s="7"/>
    </row>
    <row r="234" spans="6:10">
      <c r="F234" s="7">
        <v>0</v>
      </c>
      <c r="J234" s="7"/>
    </row>
    <row r="235" spans="6:10">
      <c r="F235" s="7">
        <v>0</v>
      </c>
      <c r="J235" s="7"/>
    </row>
    <row r="236" spans="6:10">
      <c r="F236" s="7">
        <v>0</v>
      </c>
      <c r="J236" s="7"/>
    </row>
    <row r="237" spans="6:10">
      <c r="F237" s="7">
        <v>0</v>
      </c>
      <c r="J237" s="7"/>
    </row>
    <row r="238" spans="6:10">
      <c r="F238" s="7">
        <v>0</v>
      </c>
      <c r="J238" s="7"/>
    </row>
    <row r="239" spans="6:10">
      <c r="F239" s="7">
        <v>0</v>
      </c>
      <c r="J239" s="7"/>
    </row>
    <row r="240" spans="6:10">
      <c r="F240" s="7">
        <v>0</v>
      </c>
      <c r="J240" s="7"/>
    </row>
    <row r="241" spans="6:10">
      <c r="F241" s="7">
        <v>0</v>
      </c>
      <c r="J241" s="7"/>
    </row>
    <row r="242" spans="6:10">
      <c r="F242" s="7">
        <v>0</v>
      </c>
      <c r="J242" s="7"/>
    </row>
    <row r="243" spans="6:10">
      <c r="F243" s="7">
        <v>0</v>
      </c>
      <c r="J243" s="7"/>
    </row>
    <row r="244" spans="6:10">
      <c r="F244" s="7">
        <v>0</v>
      </c>
      <c r="J244" s="7"/>
    </row>
    <row r="245" spans="6:10">
      <c r="F245" s="7">
        <v>0</v>
      </c>
      <c r="J245" s="7"/>
    </row>
    <row r="246" spans="6:10">
      <c r="F246" s="7">
        <v>0</v>
      </c>
      <c r="J246" s="7"/>
    </row>
    <row r="247" spans="6:10">
      <c r="F247" s="7">
        <v>0</v>
      </c>
      <c r="J247" s="7"/>
    </row>
    <row r="248" spans="6:10">
      <c r="F248" s="7">
        <v>0</v>
      </c>
      <c r="J248" s="7"/>
    </row>
    <row r="249" spans="6:10">
      <c r="F249" s="7">
        <v>0</v>
      </c>
      <c r="J249" s="7"/>
    </row>
    <row r="250" spans="6:10">
      <c r="F250" s="7">
        <v>0</v>
      </c>
      <c r="J250" s="7"/>
    </row>
    <row r="251" spans="6:10">
      <c r="F251" s="7">
        <v>0</v>
      </c>
      <c r="J251" s="7"/>
    </row>
    <row r="252" spans="6:10">
      <c r="F252" s="7">
        <v>0</v>
      </c>
      <c r="J252" s="7"/>
    </row>
    <row r="253" spans="6:10">
      <c r="F253" s="7">
        <v>0</v>
      </c>
      <c r="J253" s="7"/>
    </row>
    <row r="254" spans="6:10">
      <c r="F254" s="7">
        <v>0</v>
      </c>
      <c r="J254" s="7"/>
    </row>
    <row r="255" spans="6:10">
      <c r="F255" s="7">
        <v>0</v>
      </c>
      <c r="J255" s="7"/>
    </row>
    <row r="256" spans="6:10">
      <c r="F256" s="7">
        <v>0</v>
      </c>
      <c r="J256" s="7"/>
    </row>
    <row r="257" spans="6:10">
      <c r="F257" s="7">
        <v>0</v>
      </c>
      <c r="J257" s="7"/>
    </row>
    <row r="258" spans="6:10">
      <c r="F258" s="7">
        <v>0</v>
      </c>
      <c r="J258" s="7"/>
    </row>
    <row r="259" spans="6:10">
      <c r="F259" s="7">
        <v>0</v>
      </c>
      <c r="J259" s="7"/>
    </row>
    <row r="260" spans="6:10">
      <c r="F260" s="7">
        <v>0</v>
      </c>
      <c r="J260" s="7"/>
    </row>
    <row r="261" spans="6:10">
      <c r="F261" s="7">
        <v>0</v>
      </c>
      <c r="J261" s="7"/>
    </row>
    <row r="262" spans="6:10">
      <c r="F262" s="7">
        <v>0</v>
      </c>
      <c r="J262" s="7"/>
    </row>
    <row r="263" spans="6:10">
      <c r="F263" s="7">
        <v>0</v>
      </c>
      <c r="J263" s="7"/>
    </row>
    <row r="264" spans="6:10">
      <c r="F264" s="7">
        <v>0</v>
      </c>
      <c r="J264" s="7"/>
    </row>
    <row r="265" spans="6:10">
      <c r="F265" s="7">
        <v>0</v>
      </c>
      <c r="J265" s="7"/>
    </row>
    <row r="266" spans="6:10">
      <c r="F266" s="7">
        <v>0</v>
      </c>
      <c r="J266" s="7"/>
    </row>
    <row r="267" spans="6:10">
      <c r="F267" s="7">
        <v>0</v>
      </c>
      <c r="J267" s="7"/>
    </row>
    <row r="268" spans="6:10">
      <c r="F268" s="7">
        <v>0</v>
      </c>
      <c r="J268" s="7"/>
    </row>
    <row r="269" spans="6:10">
      <c r="F269" s="7">
        <v>0</v>
      </c>
      <c r="J269" s="7"/>
    </row>
    <row r="270" spans="6:10">
      <c r="F270" s="7">
        <v>0</v>
      </c>
      <c r="J270" s="7"/>
    </row>
    <row r="271" spans="6:10">
      <c r="F271" s="7">
        <v>0</v>
      </c>
      <c r="J271" s="7"/>
    </row>
    <row r="272" spans="6:10">
      <c r="F272" s="7">
        <v>0</v>
      </c>
      <c r="J272" s="7"/>
    </row>
    <row r="273" spans="6:10">
      <c r="F273" s="7">
        <v>0</v>
      </c>
      <c r="J273" s="7"/>
    </row>
    <row r="274" spans="6:10">
      <c r="F274" s="7">
        <v>0</v>
      </c>
      <c r="J274" s="7"/>
    </row>
    <row r="275" spans="6:10">
      <c r="F275" s="7">
        <v>0</v>
      </c>
      <c r="J275" s="7"/>
    </row>
    <row r="276" spans="6:10">
      <c r="F276" s="7">
        <v>0</v>
      </c>
      <c r="J276" s="7"/>
    </row>
    <row r="277" spans="6:10">
      <c r="F277" s="7">
        <v>0</v>
      </c>
      <c r="J277" s="7"/>
    </row>
    <row r="278" spans="6:10">
      <c r="F278" s="7">
        <v>0</v>
      </c>
      <c r="J278" s="7"/>
    </row>
    <row r="279" spans="6:10">
      <c r="F279" s="7">
        <v>0</v>
      </c>
      <c r="J279" s="7"/>
    </row>
    <row r="280" spans="6:10">
      <c r="F280" s="7">
        <v>0</v>
      </c>
      <c r="J280" s="7"/>
    </row>
    <row r="281" spans="6:10">
      <c r="F281" s="7">
        <v>0</v>
      </c>
      <c r="J281" s="7"/>
    </row>
    <row r="282" spans="6:10">
      <c r="F282" s="7">
        <v>0</v>
      </c>
      <c r="J282" s="7"/>
    </row>
    <row r="283" spans="6:10">
      <c r="F283" s="7">
        <v>0</v>
      </c>
      <c r="J283" s="7"/>
    </row>
    <row r="284" spans="6:10">
      <c r="F284" s="7">
        <v>0</v>
      </c>
      <c r="J284" s="7"/>
    </row>
    <row r="285" spans="6:10">
      <c r="F285" s="7">
        <v>0</v>
      </c>
      <c r="J285" s="7"/>
    </row>
    <row r="286" spans="6:10">
      <c r="F286" s="7">
        <v>0</v>
      </c>
      <c r="J286" s="7"/>
    </row>
    <row r="287" spans="6:10">
      <c r="F287" s="7">
        <v>0</v>
      </c>
      <c r="J287" s="7"/>
    </row>
    <row r="288" spans="6:10">
      <c r="F288" s="7">
        <v>0</v>
      </c>
      <c r="J288" s="7"/>
    </row>
    <row r="289" spans="6:10">
      <c r="F289" s="7">
        <v>0</v>
      </c>
      <c r="J289" s="7"/>
    </row>
    <row r="290" spans="6:10">
      <c r="F290" s="7">
        <v>0</v>
      </c>
      <c r="J290" s="7"/>
    </row>
    <row r="291" spans="6:10">
      <c r="F291" s="7">
        <v>0</v>
      </c>
      <c r="J291" s="7"/>
    </row>
    <row r="292" spans="6:10">
      <c r="F292" s="7">
        <v>0</v>
      </c>
      <c r="J292" s="7"/>
    </row>
    <row r="293" spans="6:10">
      <c r="F293" s="7">
        <v>0</v>
      </c>
      <c r="J293" s="7"/>
    </row>
    <row r="294" spans="6:10">
      <c r="F294" s="7">
        <v>0</v>
      </c>
      <c r="J294" s="7"/>
    </row>
    <row r="295" spans="6:10">
      <c r="F295" s="7">
        <v>0</v>
      </c>
      <c r="J295" s="7"/>
    </row>
    <row r="296" spans="6:10">
      <c r="F296" s="7">
        <v>0</v>
      </c>
      <c r="J296" s="7"/>
    </row>
    <row r="297" spans="6:10">
      <c r="F297" s="7">
        <v>0</v>
      </c>
      <c r="J297" s="7"/>
    </row>
    <row r="298" spans="6:10">
      <c r="F298" s="7">
        <v>0</v>
      </c>
      <c r="J298" s="7"/>
    </row>
    <row r="299" spans="6:10">
      <c r="F299" s="7">
        <v>0</v>
      </c>
      <c r="J299" s="7"/>
    </row>
    <row r="300" spans="6:10">
      <c r="F300" s="7">
        <v>0</v>
      </c>
      <c r="J300" s="7"/>
    </row>
    <row r="301" spans="6:10">
      <c r="F301" s="7">
        <v>0</v>
      </c>
      <c r="J301" s="7"/>
    </row>
    <row r="302" spans="6:10">
      <c r="F302" s="7">
        <v>0</v>
      </c>
      <c r="J302" s="7"/>
    </row>
    <row r="303" spans="6:10">
      <c r="F303" s="7">
        <v>0</v>
      </c>
      <c r="J303" s="7"/>
    </row>
    <row r="304" spans="6:10">
      <c r="F304" s="7">
        <v>0</v>
      </c>
      <c r="J304" s="7"/>
    </row>
    <row r="305" spans="6:10">
      <c r="F305" s="7">
        <v>0</v>
      </c>
      <c r="J305" s="7"/>
    </row>
    <row r="306" spans="6:10">
      <c r="F306" s="7">
        <v>0</v>
      </c>
      <c r="J306" s="7"/>
    </row>
    <row r="307" spans="6:10">
      <c r="F307" s="7">
        <v>0</v>
      </c>
      <c r="J307" s="7"/>
    </row>
    <row r="308" spans="6:10">
      <c r="F308" s="7">
        <v>0</v>
      </c>
      <c r="J308" s="7"/>
    </row>
    <row r="309" spans="6:10">
      <c r="F309" s="7">
        <v>0</v>
      </c>
      <c r="J309" s="7"/>
    </row>
    <row r="310" spans="6:10">
      <c r="F310" s="7">
        <v>0</v>
      </c>
      <c r="J310" s="7"/>
    </row>
    <row r="311" spans="6:10">
      <c r="F311" s="7">
        <v>0</v>
      </c>
      <c r="J311" s="7"/>
    </row>
    <row r="312" spans="6:10">
      <c r="F312" s="7">
        <v>0</v>
      </c>
      <c r="J312" s="7"/>
    </row>
    <row r="313" spans="6:10">
      <c r="F313" s="7">
        <v>0</v>
      </c>
      <c r="J313" s="7"/>
    </row>
    <row r="314" spans="6:10">
      <c r="F314" s="7">
        <v>0</v>
      </c>
      <c r="J314" s="7"/>
    </row>
    <row r="315" spans="6:10">
      <c r="F315" s="7">
        <v>0</v>
      </c>
      <c r="J315" s="7"/>
    </row>
    <row r="316" spans="6:10">
      <c r="F316" s="7">
        <v>0</v>
      </c>
      <c r="J316" s="7"/>
    </row>
    <row r="317" spans="6:10">
      <c r="F317" s="7">
        <v>0</v>
      </c>
      <c r="J317" s="7"/>
    </row>
    <row r="318" spans="6:10">
      <c r="F318" s="7">
        <v>0</v>
      </c>
      <c r="J318" s="7"/>
    </row>
    <row r="319" spans="6:10">
      <c r="F319" s="7">
        <v>0</v>
      </c>
      <c r="J319" s="7"/>
    </row>
    <row r="320" spans="6:10">
      <c r="F320" s="7">
        <v>0</v>
      </c>
      <c r="J320" s="7"/>
    </row>
    <row r="321" spans="6:10">
      <c r="F321" s="7">
        <v>0</v>
      </c>
      <c r="J321" s="7"/>
    </row>
    <row r="322" spans="6:10">
      <c r="F322" s="7">
        <v>0</v>
      </c>
      <c r="J322" s="7"/>
    </row>
    <row r="323" spans="6:10">
      <c r="F323" s="7">
        <v>0</v>
      </c>
      <c r="J323" s="7"/>
    </row>
    <row r="324" spans="6:10">
      <c r="F324" s="7">
        <v>0</v>
      </c>
      <c r="J324" s="7"/>
    </row>
    <row r="325" spans="6:10">
      <c r="F325" s="7">
        <v>0</v>
      </c>
      <c r="J325" s="7"/>
    </row>
    <row r="326" spans="6:10">
      <c r="F326" s="7">
        <v>0</v>
      </c>
      <c r="J326" s="7"/>
    </row>
    <row r="327" spans="6:10">
      <c r="F327" s="7">
        <v>0</v>
      </c>
      <c r="J327" s="7"/>
    </row>
    <row r="328" spans="6:10">
      <c r="F328" s="7">
        <v>0</v>
      </c>
      <c r="J328" s="7"/>
    </row>
    <row r="329" spans="6:10">
      <c r="F329" s="7">
        <v>0</v>
      </c>
      <c r="J329" s="7"/>
    </row>
    <row r="330" spans="6:10">
      <c r="F330" s="7">
        <v>0</v>
      </c>
      <c r="J330" s="7"/>
    </row>
    <row r="331" spans="6:10">
      <c r="F331" s="7">
        <v>0</v>
      </c>
      <c r="J331" s="7"/>
    </row>
    <row r="332" spans="6:10">
      <c r="F332" s="7">
        <v>0</v>
      </c>
      <c r="J332" s="7"/>
    </row>
    <row r="333" spans="6:10">
      <c r="F333" s="7">
        <v>0</v>
      </c>
      <c r="J333" s="7"/>
    </row>
    <row r="334" spans="6:10">
      <c r="F334" s="7">
        <v>0</v>
      </c>
      <c r="J334" s="7"/>
    </row>
    <row r="335" spans="6:10">
      <c r="F335" s="7">
        <v>0</v>
      </c>
      <c r="J335" s="7"/>
    </row>
    <row r="336" spans="6:10">
      <c r="F336" s="7">
        <v>0</v>
      </c>
      <c r="J336" s="7"/>
    </row>
    <row r="337" spans="6:10">
      <c r="F337" s="7">
        <v>0</v>
      </c>
      <c r="J337" s="7"/>
    </row>
    <row r="338" spans="6:10">
      <c r="F338" s="7">
        <v>0</v>
      </c>
      <c r="J338" s="7"/>
    </row>
    <row r="339" spans="6:10">
      <c r="F339" s="7">
        <v>0</v>
      </c>
      <c r="J339" s="7"/>
    </row>
    <row r="340" spans="6:10">
      <c r="F340" s="7">
        <v>0</v>
      </c>
      <c r="J340" s="7"/>
    </row>
    <row r="341" spans="6:10">
      <c r="F341" s="7">
        <v>0</v>
      </c>
      <c r="J341" s="7"/>
    </row>
    <row r="342" spans="6:10">
      <c r="F342" s="7">
        <v>0</v>
      </c>
      <c r="J342" s="7"/>
    </row>
    <row r="343" spans="6:10">
      <c r="F343" s="7">
        <v>0</v>
      </c>
      <c r="J343" s="7"/>
    </row>
    <row r="344" spans="6:10">
      <c r="F344" s="7">
        <v>0</v>
      </c>
      <c r="J344" s="7"/>
    </row>
    <row r="345" spans="6:10">
      <c r="F345" s="7">
        <v>0</v>
      </c>
      <c r="J345" s="7"/>
    </row>
    <row r="346" spans="6:10">
      <c r="F346" s="7">
        <v>0</v>
      </c>
      <c r="J346" s="7"/>
    </row>
    <row r="347" spans="6:10">
      <c r="F347" s="7">
        <v>0</v>
      </c>
      <c r="J347" s="7"/>
    </row>
    <row r="348" spans="6:10">
      <c r="F348" s="7">
        <v>0</v>
      </c>
      <c r="J348" s="7"/>
    </row>
    <row r="349" spans="6:10">
      <c r="F349" s="7">
        <v>0</v>
      </c>
      <c r="J349" s="7"/>
    </row>
    <row r="350" spans="6:10">
      <c r="F350" s="7">
        <v>0</v>
      </c>
      <c r="J350" s="7"/>
    </row>
    <row r="351" spans="6:10">
      <c r="F351" s="7">
        <v>0</v>
      </c>
      <c r="J351" s="7"/>
    </row>
    <row r="352" spans="6:10">
      <c r="F352" s="7">
        <v>0</v>
      </c>
      <c r="J352" s="7"/>
    </row>
    <row r="353" spans="6:10">
      <c r="F353" s="7">
        <v>0</v>
      </c>
      <c r="J353" s="7"/>
    </row>
    <row r="354" spans="6:10">
      <c r="F354" s="7">
        <v>0</v>
      </c>
      <c r="J354" s="7"/>
    </row>
    <row r="355" spans="6:10">
      <c r="F355" s="7">
        <v>0</v>
      </c>
      <c r="J355" s="7"/>
    </row>
    <row r="356" spans="6:10">
      <c r="F356" s="7">
        <v>0</v>
      </c>
      <c r="J356" s="7"/>
    </row>
    <row r="357" spans="6:10">
      <c r="F357" s="7">
        <v>0</v>
      </c>
      <c r="J357" s="7"/>
    </row>
    <row r="358" spans="6:10">
      <c r="F358" s="7">
        <v>0</v>
      </c>
      <c r="J358" s="7"/>
    </row>
    <row r="359" spans="6:10">
      <c r="F359" s="7">
        <v>0</v>
      </c>
      <c r="J359" s="7"/>
    </row>
    <row r="360" spans="6:10">
      <c r="F360" s="7">
        <v>0</v>
      </c>
      <c r="J360" s="7"/>
    </row>
    <row r="361" spans="6:10">
      <c r="F361" s="7">
        <v>0</v>
      </c>
      <c r="J361" s="7"/>
    </row>
    <row r="362" spans="6:10">
      <c r="F362" s="7">
        <v>0</v>
      </c>
      <c r="J362" s="7"/>
    </row>
    <row r="363" spans="6:10">
      <c r="F363" s="7">
        <v>0</v>
      </c>
      <c r="J363" s="7"/>
    </row>
    <row r="364" spans="6:10">
      <c r="F364" s="7">
        <v>0</v>
      </c>
      <c r="J364" s="7"/>
    </row>
    <row r="365" spans="6:10">
      <c r="F365" s="7">
        <v>0</v>
      </c>
      <c r="J365" s="7"/>
    </row>
    <row r="366" spans="6:10">
      <c r="F366" s="7">
        <v>0</v>
      </c>
      <c r="J366" s="7"/>
    </row>
    <row r="367" spans="6:10">
      <c r="F367" s="7">
        <v>0</v>
      </c>
      <c r="J367" s="7"/>
    </row>
    <row r="368" spans="6:10">
      <c r="F368" s="7">
        <v>0</v>
      </c>
      <c r="J368" s="7"/>
    </row>
    <row r="369" spans="6:10">
      <c r="F369" s="7">
        <v>0</v>
      </c>
      <c r="J369" s="7"/>
    </row>
    <row r="370" spans="6:10">
      <c r="F370" s="7">
        <v>0</v>
      </c>
      <c r="J370" s="7"/>
    </row>
    <row r="371" spans="6:10">
      <c r="F371" s="7">
        <v>0</v>
      </c>
      <c r="J371" s="7"/>
    </row>
    <row r="372" spans="6:10">
      <c r="F372" s="7">
        <v>0</v>
      </c>
      <c r="J372" s="7"/>
    </row>
    <row r="373" spans="6:10">
      <c r="F373" s="7">
        <v>0</v>
      </c>
      <c r="J373" s="7"/>
    </row>
    <row r="374" spans="6:10">
      <c r="F374" s="7">
        <v>0</v>
      </c>
      <c r="J374" s="7"/>
    </row>
    <row r="375" spans="6:10">
      <c r="F375" s="7">
        <v>0</v>
      </c>
      <c r="J375" s="7"/>
    </row>
    <row r="376" spans="6:10">
      <c r="F376" s="7">
        <v>0</v>
      </c>
      <c r="J376" s="7"/>
    </row>
    <row r="377" spans="6:10">
      <c r="F377" s="7">
        <v>0</v>
      </c>
      <c r="J377" s="7"/>
    </row>
    <row r="378" spans="6:10">
      <c r="F378" s="7">
        <v>0</v>
      </c>
      <c r="J378" s="7"/>
    </row>
    <row r="379" spans="6:10">
      <c r="F379" s="7">
        <v>0</v>
      </c>
      <c r="J379" s="7"/>
    </row>
    <row r="380" spans="6:10">
      <c r="F380" s="7">
        <v>0</v>
      </c>
      <c r="J380" s="7"/>
    </row>
    <row r="381" spans="6:10">
      <c r="F381" s="7">
        <v>0</v>
      </c>
      <c r="J381" s="7"/>
    </row>
    <row r="382" spans="6:10">
      <c r="F382" s="7">
        <v>0</v>
      </c>
      <c r="J382" s="7"/>
    </row>
    <row r="383" spans="6:10">
      <c r="F383" s="7">
        <v>0</v>
      </c>
      <c r="J383" s="7"/>
    </row>
    <row r="384" spans="6:10">
      <c r="F384" s="7">
        <v>0</v>
      </c>
      <c r="J384" s="7"/>
    </row>
    <row r="385" spans="6:10">
      <c r="F385" s="7">
        <v>0</v>
      </c>
      <c r="J385" s="7"/>
    </row>
    <row r="386" spans="6:10">
      <c r="F386" s="7">
        <v>0</v>
      </c>
      <c r="J386" s="7"/>
    </row>
    <row r="387" spans="6:10">
      <c r="F387" s="7">
        <v>0</v>
      </c>
      <c r="J387" s="7"/>
    </row>
    <row r="388" spans="6:10">
      <c r="F388" s="7">
        <v>0</v>
      </c>
      <c r="J388" s="7"/>
    </row>
    <row r="389" spans="6:10">
      <c r="F389" s="7">
        <v>0</v>
      </c>
      <c r="J389" s="7"/>
    </row>
    <row r="390" spans="6:10">
      <c r="F390" s="7">
        <v>0</v>
      </c>
      <c r="J390" s="7"/>
    </row>
    <row r="391" spans="6:10">
      <c r="F391" s="7">
        <v>0</v>
      </c>
      <c r="J391" s="7"/>
    </row>
    <row r="392" spans="6:10">
      <c r="F392" s="7">
        <v>0</v>
      </c>
      <c r="J392" s="7"/>
    </row>
    <row r="393" spans="6:10">
      <c r="F393" s="7">
        <v>0</v>
      </c>
      <c r="J393" s="7"/>
    </row>
    <row r="394" spans="6:10">
      <c r="F394" s="7">
        <v>0</v>
      </c>
      <c r="J394" s="7"/>
    </row>
    <row r="395" spans="6:10">
      <c r="F395" s="7">
        <v>0</v>
      </c>
      <c r="J395" s="7"/>
    </row>
    <row r="396" spans="6:10">
      <c r="F396" s="7">
        <v>0</v>
      </c>
      <c r="J396" s="7"/>
    </row>
    <row r="397" spans="6:10">
      <c r="F397" s="7">
        <v>0</v>
      </c>
      <c r="J397" s="7"/>
    </row>
    <row r="398" spans="6:10">
      <c r="F398" s="7">
        <v>0</v>
      </c>
      <c r="J398" s="7"/>
    </row>
    <row r="399" spans="6:10">
      <c r="F399" s="7">
        <v>0</v>
      </c>
      <c r="J399" s="7"/>
    </row>
    <row r="400" spans="6:10">
      <c r="F400" s="7">
        <v>0</v>
      </c>
      <c r="J400" s="7"/>
    </row>
    <row r="401" spans="6:10">
      <c r="F401" s="7">
        <v>0</v>
      </c>
      <c r="J401" s="7"/>
    </row>
    <row r="402" spans="6:10">
      <c r="F402" s="7">
        <v>0</v>
      </c>
      <c r="J402" s="7"/>
    </row>
    <row r="403" spans="6:10">
      <c r="F403" s="7">
        <v>0</v>
      </c>
      <c r="J403" s="7"/>
    </row>
    <row r="404" spans="6:10">
      <c r="F404" s="7">
        <v>0</v>
      </c>
      <c r="J404" s="7"/>
    </row>
    <row r="405" spans="6:10">
      <c r="F405" s="7">
        <v>0</v>
      </c>
      <c r="J405" s="7"/>
    </row>
    <row r="406" spans="6:10">
      <c r="F406" s="7">
        <v>0</v>
      </c>
      <c r="J406" s="7"/>
    </row>
    <row r="407" spans="6:10">
      <c r="F407" s="7">
        <v>0</v>
      </c>
      <c r="J407" s="7"/>
    </row>
    <row r="408" spans="6:10">
      <c r="F408" s="7">
        <v>0</v>
      </c>
      <c r="J408" s="7"/>
    </row>
    <row r="409" spans="6:10">
      <c r="F409" s="7">
        <v>0</v>
      </c>
      <c r="J409" s="7"/>
    </row>
    <row r="410" spans="6:10">
      <c r="F410" s="7">
        <v>0</v>
      </c>
      <c r="J410" s="7"/>
    </row>
    <row r="411" spans="6:10">
      <c r="F411" s="7">
        <v>0</v>
      </c>
      <c r="J411" s="7"/>
    </row>
    <row r="412" spans="6:10">
      <c r="F412" s="7">
        <v>0</v>
      </c>
      <c r="J412" s="7"/>
    </row>
    <row r="413" spans="6:10">
      <c r="F413" s="7">
        <v>0</v>
      </c>
      <c r="J413" s="7"/>
    </row>
    <row r="414" spans="6:10">
      <c r="F414" s="7">
        <v>0</v>
      </c>
      <c r="J414" s="7"/>
    </row>
    <row r="415" spans="6:10">
      <c r="F415" s="7">
        <v>0</v>
      </c>
      <c r="J415" s="7"/>
    </row>
    <row r="416" spans="6:10">
      <c r="F416" s="7">
        <v>0</v>
      </c>
      <c r="J416" s="7"/>
    </row>
    <row r="417" spans="6:10">
      <c r="F417" s="7">
        <v>0</v>
      </c>
      <c r="J417" s="7"/>
    </row>
    <row r="418" spans="6:10">
      <c r="F418" s="7">
        <v>0</v>
      </c>
      <c r="J418" s="7"/>
    </row>
    <row r="419" spans="6:10">
      <c r="F419" s="7">
        <v>0</v>
      </c>
      <c r="J419" s="7"/>
    </row>
    <row r="420" spans="6:10">
      <c r="F420" s="7">
        <v>0</v>
      </c>
      <c r="J420" s="7"/>
    </row>
    <row r="421" spans="6:10">
      <c r="F421" s="7">
        <v>0</v>
      </c>
      <c r="J421" s="7"/>
    </row>
    <row r="422" spans="6:10">
      <c r="F422" s="7">
        <v>0</v>
      </c>
      <c r="J422" s="7"/>
    </row>
    <row r="423" spans="6:10">
      <c r="F423" s="7">
        <v>0</v>
      </c>
      <c r="J423" s="7"/>
    </row>
    <row r="424" spans="6:10">
      <c r="F424" s="7">
        <v>0</v>
      </c>
      <c r="J424" s="7"/>
    </row>
    <row r="425" spans="6:10">
      <c r="F425" s="7">
        <v>0</v>
      </c>
      <c r="J425" s="7"/>
    </row>
    <row r="426" spans="6:10">
      <c r="F426" s="7">
        <v>0</v>
      </c>
      <c r="J426" s="7"/>
    </row>
    <row r="427" spans="6:10">
      <c r="F427" s="7">
        <v>0</v>
      </c>
      <c r="J427" s="7"/>
    </row>
    <row r="428" spans="6:10">
      <c r="F428" s="7">
        <v>0</v>
      </c>
      <c r="J428" s="7"/>
    </row>
    <row r="429" spans="6:10">
      <c r="F429" s="7">
        <v>0</v>
      </c>
      <c r="J429" s="7"/>
    </row>
    <row r="430" spans="6:10">
      <c r="F430" s="7">
        <v>0</v>
      </c>
      <c r="J430" s="7"/>
    </row>
    <row r="431" spans="6:10">
      <c r="F431" s="7">
        <v>0</v>
      </c>
      <c r="J431" s="7"/>
    </row>
    <row r="432" spans="6:10">
      <c r="F432" s="7">
        <v>0</v>
      </c>
      <c r="J432" s="7"/>
    </row>
    <row r="433" spans="6:10">
      <c r="F433" s="7">
        <v>0</v>
      </c>
      <c r="J433" s="7"/>
    </row>
    <row r="434" spans="6:10">
      <c r="F434" s="7">
        <v>0</v>
      </c>
      <c r="J434" s="7"/>
    </row>
    <row r="435" spans="6:10">
      <c r="F435" s="7">
        <v>0</v>
      </c>
      <c r="J435" s="7"/>
    </row>
    <row r="436" spans="6:10">
      <c r="F436" s="7">
        <v>0</v>
      </c>
      <c r="J436" s="7"/>
    </row>
    <row r="437" spans="6:10">
      <c r="F437" s="7">
        <v>0</v>
      </c>
      <c r="J437" s="7"/>
    </row>
    <row r="438" spans="6:10">
      <c r="F438" s="7">
        <v>0</v>
      </c>
      <c r="J438" s="7"/>
    </row>
    <row r="439" spans="6:10">
      <c r="F439" s="7">
        <v>0</v>
      </c>
      <c r="J439" s="7"/>
    </row>
    <row r="440" spans="6:10">
      <c r="F440" s="7">
        <v>0</v>
      </c>
      <c r="J440" s="7"/>
    </row>
    <row r="441" spans="6:10">
      <c r="F441" s="7">
        <v>0</v>
      </c>
      <c r="J441" s="7"/>
    </row>
    <row r="442" spans="6:10">
      <c r="F442" s="7">
        <v>0</v>
      </c>
      <c r="J442" s="7"/>
    </row>
    <row r="443" spans="6:10">
      <c r="F443" s="7">
        <v>0</v>
      </c>
      <c r="J443" s="7"/>
    </row>
    <row r="444" spans="6:10">
      <c r="F444" s="7">
        <v>0</v>
      </c>
      <c r="J444" s="7"/>
    </row>
    <row r="445" spans="6:10">
      <c r="F445" s="7">
        <v>0</v>
      </c>
      <c r="J445" s="7"/>
    </row>
    <row r="446" spans="6:10">
      <c r="F446" s="7">
        <v>0</v>
      </c>
      <c r="J446" s="7"/>
    </row>
    <row r="447" spans="6:10">
      <c r="F447" s="7">
        <v>0</v>
      </c>
      <c r="J447" s="7"/>
    </row>
    <row r="448" spans="6:10">
      <c r="F448" s="7">
        <v>0</v>
      </c>
      <c r="J448" s="7"/>
    </row>
    <row r="449" spans="6:10">
      <c r="F449" s="7">
        <v>0</v>
      </c>
      <c r="J449" s="7"/>
    </row>
    <row r="450" spans="6:10">
      <c r="F450" s="7">
        <v>0</v>
      </c>
      <c r="J450" s="7"/>
    </row>
    <row r="451" spans="6:10">
      <c r="F451" s="7">
        <v>0</v>
      </c>
      <c r="J451" s="7"/>
    </row>
    <row r="452" spans="6:10">
      <c r="F452" s="7">
        <v>0</v>
      </c>
      <c r="J452" s="7"/>
    </row>
    <row r="453" spans="6:10">
      <c r="F453" s="7">
        <v>0</v>
      </c>
      <c r="J453" s="7"/>
    </row>
    <row r="454" spans="6:10">
      <c r="F454" s="7">
        <v>0</v>
      </c>
      <c r="J454" s="7"/>
    </row>
    <row r="455" spans="6:10">
      <c r="F455" s="7">
        <v>0</v>
      </c>
      <c r="J455" s="7"/>
    </row>
    <row r="456" spans="6:10">
      <c r="F456" s="7">
        <v>0</v>
      </c>
      <c r="J456" s="7"/>
    </row>
    <row r="457" spans="6:10">
      <c r="F457" s="7">
        <v>0</v>
      </c>
      <c r="J457" s="7"/>
    </row>
    <row r="458" spans="6:10">
      <c r="F458" s="7">
        <v>0</v>
      </c>
      <c r="J458" s="7"/>
    </row>
    <row r="459" spans="6:10">
      <c r="F459" s="7">
        <v>0</v>
      </c>
      <c r="J459" s="7"/>
    </row>
    <row r="460" spans="6:10">
      <c r="F460" s="7">
        <v>0</v>
      </c>
      <c r="J460" s="7"/>
    </row>
    <row r="461" spans="6:10">
      <c r="F461" s="7">
        <v>0</v>
      </c>
      <c r="J461" s="7"/>
    </row>
    <row r="462" spans="6:10">
      <c r="F462" s="7">
        <v>0</v>
      </c>
      <c r="J462" s="7"/>
    </row>
    <row r="463" spans="6:10">
      <c r="F463" s="7">
        <v>0</v>
      </c>
      <c r="J463" s="7"/>
    </row>
    <row r="464" spans="6:10">
      <c r="F464" s="7">
        <v>0</v>
      </c>
      <c r="J464" s="7"/>
    </row>
    <row r="465" spans="6:10">
      <c r="F465" s="7">
        <v>0</v>
      </c>
      <c r="J465" s="7"/>
    </row>
    <row r="466" spans="6:10">
      <c r="F466" s="7">
        <v>0</v>
      </c>
      <c r="J466" s="7"/>
    </row>
    <row r="467" spans="6:10">
      <c r="F467" s="7">
        <v>0</v>
      </c>
      <c r="J467" s="7"/>
    </row>
    <row r="468" spans="6:10">
      <c r="F468" s="7">
        <v>0</v>
      </c>
      <c r="J468" s="7"/>
    </row>
    <row r="469" spans="6:10">
      <c r="F469" s="7">
        <v>0</v>
      </c>
      <c r="J469" s="7"/>
    </row>
    <row r="470" spans="6:10">
      <c r="F470" s="7">
        <v>0</v>
      </c>
      <c r="J470" s="7"/>
    </row>
    <row r="471" spans="6:10">
      <c r="F471" s="7">
        <v>0</v>
      </c>
      <c r="J471" s="7"/>
    </row>
    <row r="472" spans="6:10">
      <c r="F472" s="7">
        <v>0</v>
      </c>
      <c r="J472" s="7"/>
    </row>
    <row r="473" spans="6:10">
      <c r="F473" s="7">
        <v>0</v>
      </c>
      <c r="J473" s="7"/>
    </row>
    <row r="474" spans="6:10">
      <c r="F474" s="7">
        <v>0</v>
      </c>
      <c r="J474" s="7"/>
    </row>
    <row r="475" spans="6:10">
      <c r="F475" s="7">
        <v>0</v>
      </c>
      <c r="J475" s="7"/>
    </row>
    <row r="476" spans="6:10">
      <c r="F476" s="7">
        <v>0</v>
      </c>
      <c r="J476" s="7"/>
    </row>
    <row r="477" spans="6:10">
      <c r="F477" s="7">
        <v>0</v>
      </c>
      <c r="J477" s="7"/>
    </row>
    <row r="478" spans="6:10">
      <c r="F478" s="7">
        <v>0</v>
      </c>
      <c r="J478" s="7"/>
    </row>
    <row r="479" spans="6:10">
      <c r="F479" s="7">
        <v>0</v>
      </c>
      <c r="J479" s="7"/>
    </row>
    <row r="480" spans="6:10">
      <c r="F480" s="7">
        <v>0</v>
      </c>
      <c r="J480" s="7"/>
    </row>
    <row r="481" spans="6:10">
      <c r="F481" s="7">
        <v>0</v>
      </c>
      <c r="J481" s="7"/>
    </row>
    <row r="482" spans="6:10">
      <c r="F482" s="7">
        <v>0</v>
      </c>
      <c r="J482" s="7"/>
    </row>
    <row r="483" spans="6:10">
      <c r="F483" s="7">
        <v>0</v>
      </c>
      <c r="J483" s="7"/>
    </row>
    <row r="484" spans="6:10">
      <c r="F484" s="7">
        <v>0</v>
      </c>
      <c r="J484" s="7"/>
    </row>
    <row r="485" spans="6:10">
      <c r="F485" s="7">
        <v>0</v>
      </c>
      <c r="J485" s="7"/>
    </row>
    <row r="486" spans="6:10">
      <c r="F486" s="7">
        <v>0</v>
      </c>
      <c r="J486" s="7"/>
    </row>
    <row r="487" spans="6:10">
      <c r="F487" s="7">
        <v>0</v>
      </c>
      <c r="J487" s="7"/>
    </row>
    <row r="488" spans="6:10">
      <c r="F488" s="7">
        <v>0</v>
      </c>
      <c r="J488" s="7"/>
    </row>
    <row r="489" spans="6:10">
      <c r="F489" s="7">
        <v>0</v>
      </c>
      <c r="J489" s="7"/>
    </row>
    <row r="490" spans="6:10">
      <c r="F490" s="7">
        <v>0</v>
      </c>
      <c r="J490" s="7"/>
    </row>
    <row r="491" spans="6:10">
      <c r="F491" s="7">
        <v>0</v>
      </c>
      <c r="J491" s="7"/>
    </row>
    <row r="492" spans="6:10">
      <c r="F492" s="7">
        <v>0</v>
      </c>
      <c r="J492" s="7"/>
    </row>
    <row r="493" spans="6:10">
      <c r="F493" s="7">
        <v>0</v>
      </c>
      <c r="J493" s="7"/>
    </row>
    <row r="494" spans="6:10">
      <c r="F494" s="7">
        <v>0</v>
      </c>
      <c r="J494" s="7"/>
    </row>
    <row r="495" spans="6:10">
      <c r="F495" s="7">
        <v>0</v>
      </c>
      <c r="J495" s="7"/>
    </row>
    <row r="496" spans="6:10">
      <c r="F496" s="7">
        <v>0</v>
      </c>
      <c r="J496" s="7"/>
    </row>
    <row r="497" spans="6:10">
      <c r="F497" s="7">
        <v>0</v>
      </c>
      <c r="J497" s="7"/>
    </row>
    <row r="498" spans="6:10">
      <c r="F498" s="7">
        <v>0</v>
      </c>
      <c r="J498" s="7"/>
    </row>
    <row r="499" spans="6:10">
      <c r="F499" s="7">
        <v>0</v>
      </c>
      <c r="J499" s="7"/>
    </row>
    <row r="500" spans="6:10">
      <c r="F500" s="7">
        <v>0</v>
      </c>
      <c r="J500" s="7"/>
    </row>
    <row r="501" spans="6:10">
      <c r="F501" s="7">
        <v>0</v>
      </c>
      <c r="J501" s="7"/>
    </row>
    <row r="502" spans="6:10">
      <c r="F502" s="7">
        <v>0</v>
      </c>
      <c r="J502" s="7"/>
    </row>
    <row r="503" spans="6:10">
      <c r="F503" s="7">
        <v>0</v>
      </c>
      <c r="J503" s="7"/>
    </row>
    <row r="504" spans="6:10">
      <c r="F504" s="7">
        <v>0</v>
      </c>
      <c r="J504" s="7"/>
    </row>
    <row r="505" spans="6:10">
      <c r="F505" s="7">
        <v>0</v>
      </c>
      <c r="J505" s="7"/>
    </row>
    <row r="506" spans="6:10">
      <c r="F506" s="7">
        <v>0</v>
      </c>
      <c r="J506" s="7"/>
    </row>
    <row r="507" spans="6:10">
      <c r="F507" s="7">
        <v>0</v>
      </c>
      <c r="J507" s="7"/>
    </row>
    <row r="508" spans="6:10">
      <c r="F508" s="7">
        <v>0</v>
      </c>
      <c r="J508" s="7"/>
    </row>
    <row r="509" spans="6:10">
      <c r="F509" s="7">
        <v>0</v>
      </c>
      <c r="J509" s="7"/>
    </row>
    <row r="510" spans="6:10">
      <c r="F510" s="7">
        <v>0</v>
      </c>
      <c r="J510" s="7"/>
    </row>
    <row r="511" spans="6:10">
      <c r="F511" s="7">
        <v>0</v>
      </c>
      <c r="J511" s="7"/>
    </row>
    <row r="512" spans="6:10">
      <c r="F512" s="7">
        <v>0</v>
      </c>
      <c r="J512" s="7"/>
    </row>
    <row r="513" spans="6:10">
      <c r="F513" s="7">
        <v>0</v>
      </c>
      <c r="J513" s="7"/>
    </row>
    <row r="514" spans="6:10">
      <c r="F514" s="7">
        <v>0</v>
      </c>
      <c r="J514" s="7"/>
    </row>
    <row r="515" spans="6:10">
      <c r="F515" s="7">
        <v>0</v>
      </c>
      <c r="J515" s="7"/>
    </row>
    <row r="516" spans="6:10">
      <c r="F516" s="7">
        <v>0</v>
      </c>
      <c r="J516" s="7"/>
    </row>
    <row r="517" spans="6:10">
      <c r="F517" s="7">
        <v>0</v>
      </c>
      <c r="J517" s="7"/>
    </row>
    <row r="518" spans="6:10">
      <c r="F518" s="7">
        <v>0</v>
      </c>
      <c r="J518" s="7"/>
    </row>
    <row r="519" spans="6:10">
      <c r="F519" s="7">
        <v>0</v>
      </c>
      <c r="J519" s="7"/>
    </row>
    <row r="520" spans="6:10">
      <c r="F520" s="7">
        <v>0</v>
      </c>
      <c r="J520" s="7"/>
    </row>
    <row r="521" spans="6:10">
      <c r="F521" s="7">
        <v>0</v>
      </c>
      <c r="J521" s="7"/>
    </row>
    <row r="522" spans="6:10">
      <c r="F522" s="7">
        <v>0</v>
      </c>
      <c r="J522" s="7"/>
    </row>
    <row r="523" spans="6:10">
      <c r="F523" s="7">
        <v>0</v>
      </c>
      <c r="J523" s="7"/>
    </row>
    <row r="524" spans="6:10">
      <c r="F524" s="7">
        <v>0</v>
      </c>
      <c r="J524" s="7"/>
    </row>
    <row r="525" spans="6:10">
      <c r="F525" s="7">
        <v>0</v>
      </c>
      <c r="J525" s="7"/>
    </row>
    <row r="526" spans="6:10">
      <c r="F526" s="7">
        <v>0</v>
      </c>
      <c r="J526" s="7"/>
    </row>
    <row r="527" spans="6:10">
      <c r="F527" s="7">
        <v>0</v>
      </c>
      <c r="J527" s="7"/>
    </row>
    <row r="528" spans="6:10">
      <c r="F528" s="7">
        <v>0</v>
      </c>
      <c r="J528" s="7"/>
    </row>
    <row r="529" spans="6:10">
      <c r="F529" s="7">
        <v>0</v>
      </c>
      <c r="J529" s="7"/>
    </row>
    <row r="530" spans="6:10">
      <c r="F530" s="7">
        <v>0</v>
      </c>
      <c r="J530" s="7"/>
    </row>
    <row r="531" spans="6:10">
      <c r="F531" s="7">
        <v>0</v>
      </c>
      <c r="J531" s="7"/>
    </row>
    <row r="532" spans="6:10">
      <c r="F532" s="7">
        <v>0</v>
      </c>
      <c r="J532" s="7"/>
    </row>
    <row r="533" spans="6:10">
      <c r="F533" s="7">
        <v>0</v>
      </c>
      <c r="J533" s="7"/>
    </row>
    <row r="534" spans="6:10">
      <c r="F534" s="7">
        <v>0</v>
      </c>
      <c r="J534" s="7"/>
    </row>
    <row r="535" spans="6:10">
      <c r="F535" s="7">
        <v>0</v>
      </c>
      <c r="J535" s="7"/>
    </row>
    <row r="536" spans="6:10">
      <c r="F536" s="7">
        <v>0</v>
      </c>
      <c r="J536" s="7"/>
    </row>
    <row r="537" spans="6:10">
      <c r="F537" s="7">
        <v>0</v>
      </c>
      <c r="J537" s="7"/>
    </row>
    <row r="538" spans="6:10">
      <c r="F538" s="7">
        <v>0</v>
      </c>
      <c r="J538" s="7"/>
    </row>
    <row r="539" spans="6:10">
      <c r="F539" s="7">
        <v>0</v>
      </c>
      <c r="J539" s="7"/>
    </row>
    <row r="540" spans="6:10">
      <c r="F540" s="7">
        <v>0</v>
      </c>
      <c r="J540" s="7"/>
    </row>
    <row r="541" spans="6:10">
      <c r="F541" s="7">
        <v>0</v>
      </c>
      <c r="J541" s="7"/>
    </row>
    <row r="542" spans="6:10">
      <c r="F542" s="7">
        <v>0</v>
      </c>
      <c r="J542" s="7"/>
    </row>
    <row r="543" spans="6:10">
      <c r="F543" s="7">
        <v>0</v>
      </c>
      <c r="J543" s="7"/>
    </row>
    <row r="544" spans="6:10">
      <c r="F544" s="7">
        <v>0</v>
      </c>
      <c r="J544" s="7"/>
    </row>
    <row r="545" spans="6:10">
      <c r="F545" s="7">
        <v>0</v>
      </c>
      <c r="J545" s="7"/>
    </row>
    <row r="546" spans="6:10">
      <c r="F546" s="7">
        <v>0</v>
      </c>
      <c r="J546" s="7"/>
    </row>
    <row r="547" spans="6:10">
      <c r="F547" s="7">
        <v>0</v>
      </c>
      <c r="J547" s="7"/>
    </row>
    <row r="548" spans="6:10">
      <c r="F548" s="7">
        <v>0</v>
      </c>
      <c r="J548" s="7"/>
    </row>
    <row r="549" spans="6:10">
      <c r="F549" s="7">
        <v>0</v>
      </c>
      <c r="J549" s="7"/>
    </row>
    <row r="550" spans="6:10">
      <c r="F550" s="7">
        <v>0</v>
      </c>
      <c r="J550" s="7"/>
    </row>
    <row r="551" spans="6:10">
      <c r="F551" s="7">
        <v>0</v>
      </c>
      <c r="J551" s="7"/>
    </row>
    <row r="552" spans="6:10">
      <c r="F552" s="7">
        <v>0</v>
      </c>
      <c r="J552" s="7"/>
    </row>
    <row r="553" spans="6:10">
      <c r="F553" s="7">
        <v>0</v>
      </c>
      <c r="J553" s="7"/>
    </row>
    <row r="554" spans="6:10">
      <c r="F554" s="7">
        <v>0</v>
      </c>
      <c r="J554" s="7"/>
    </row>
    <row r="555" spans="6:10">
      <c r="F555" s="7">
        <v>0</v>
      </c>
      <c r="J555" s="7"/>
    </row>
    <row r="556" spans="6:10">
      <c r="F556" s="7">
        <v>0</v>
      </c>
      <c r="J556" s="7"/>
    </row>
    <row r="557" spans="6:10">
      <c r="F557" s="7">
        <v>0</v>
      </c>
      <c r="J557" s="7"/>
    </row>
    <row r="558" spans="6:10">
      <c r="F558" s="7">
        <v>0</v>
      </c>
      <c r="J558" s="7"/>
    </row>
    <row r="559" spans="6:10">
      <c r="F559" s="7">
        <v>0</v>
      </c>
      <c r="J559" s="7"/>
    </row>
    <row r="560" spans="6:10">
      <c r="F560" s="7">
        <v>0</v>
      </c>
      <c r="J560" s="7"/>
    </row>
    <row r="561" spans="6:10">
      <c r="F561" s="7">
        <v>0</v>
      </c>
      <c r="J561" s="7"/>
    </row>
    <row r="562" spans="6:10">
      <c r="F562" s="7">
        <v>0</v>
      </c>
      <c r="J562" s="7"/>
    </row>
    <row r="563" spans="6:10">
      <c r="F563" s="7">
        <v>0</v>
      </c>
      <c r="J563" s="7"/>
    </row>
    <row r="564" spans="6:10">
      <c r="F564" s="7">
        <v>0</v>
      </c>
      <c r="J564" s="7"/>
    </row>
    <row r="565" spans="6:10">
      <c r="F565" s="7">
        <v>0</v>
      </c>
      <c r="J565" s="7"/>
    </row>
    <row r="566" spans="6:10">
      <c r="F566" s="7">
        <v>0</v>
      </c>
      <c r="J566" s="7"/>
    </row>
    <row r="567" spans="6:10">
      <c r="F567" s="7">
        <v>0</v>
      </c>
      <c r="J567" s="7"/>
    </row>
    <row r="568" spans="6:10">
      <c r="F568" s="7">
        <v>0</v>
      </c>
      <c r="J568" s="7"/>
    </row>
    <row r="569" spans="6:10">
      <c r="F569" s="7">
        <v>0</v>
      </c>
      <c r="J569" s="7"/>
    </row>
    <row r="570" spans="6:10">
      <c r="F570" s="7">
        <v>0</v>
      </c>
      <c r="J570" s="7"/>
    </row>
    <row r="571" spans="6:10">
      <c r="F571" s="7">
        <v>0</v>
      </c>
      <c r="J571" s="7"/>
    </row>
    <row r="572" spans="6:10">
      <c r="F572" s="7">
        <v>0</v>
      </c>
      <c r="J572" s="7"/>
    </row>
    <row r="573" spans="6:10">
      <c r="F573" s="7">
        <v>0</v>
      </c>
      <c r="J573" s="7"/>
    </row>
    <row r="574" spans="6:10">
      <c r="F574" s="7">
        <v>0</v>
      </c>
      <c r="J574" s="7"/>
    </row>
    <row r="575" spans="6:10">
      <c r="F575" s="7">
        <v>0</v>
      </c>
      <c r="J575" s="7"/>
    </row>
    <row r="576" spans="6:10">
      <c r="F576" s="7">
        <v>0</v>
      </c>
      <c r="J576" s="7"/>
    </row>
    <row r="577" spans="6:10">
      <c r="F577" s="7">
        <v>0</v>
      </c>
      <c r="J577" s="7"/>
    </row>
    <row r="578" spans="6:10">
      <c r="F578" s="7">
        <v>0</v>
      </c>
      <c r="J578" s="7"/>
    </row>
    <row r="579" spans="6:10">
      <c r="F579" s="7">
        <v>0</v>
      </c>
      <c r="J579" s="7"/>
    </row>
    <row r="580" spans="6:10">
      <c r="F580" s="7">
        <v>0</v>
      </c>
      <c r="J580" s="7"/>
    </row>
    <row r="581" spans="6:10">
      <c r="F581" s="7">
        <v>0</v>
      </c>
      <c r="J581" s="7"/>
    </row>
    <row r="582" spans="6:10">
      <c r="F582" s="7">
        <v>0</v>
      </c>
      <c r="J582" s="7"/>
    </row>
    <row r="583" spans="6:10">
      <c r="F583" s="7">
        <v>0</v>
      </c>
      <c r="J583" s="7"/>
    </row>
    <row r="584" spans="6:10">
      <c r="F584" s="7">
        <v>0</v>
      </c>
      <c r="J584" s="7"/>
    </row>
    <row r="585" spans="6:10">
      <c r="F585" s="7">
        <v>0</v>
      </c>
      <c r="J585" s="7"/>
    </row>
    <row r="586" spans="6:10">
      <c r="F586" s="7">
        <v>0</v>
      </c>
      <c r="J586" s="7"/>
    </row>
    <row r="587" spans="6:10">
      <c r="F587" s="7">
        <v>0</v>
      </c>
      <c r="J587" s="7"/>
    </row>
    <row r="588" spans="6:10">
      <c r="F588" s="7">
        <v>0</v>
      </c>
      <c r="J588" s="7"/>
    </row>
    <row r="589" spans="6:10">
      <c r="F589" s="7">
        <v>0</v>
      </c>
      <c r="J589" s="7"/>
    </row>
    <row r="590" spans="6:10">
      <c r="F590" s="7">
        <v>0</v>
      </c>
      <c r="J590" s="7"/>
    </row>
    <row r="591" spans="6:10">
      <c r="F591" s="7">
        <v>0</v>
      </c>
      <c r="J591" s="7"/>
    </row>
    <row r="592" spans="6:10">
      <c r="F592" s="7">
        <v>0</v>
      </c>
      <c r="J592" s="7"/>
    </row>
    <row r="593" spans="6:10">
      <c r="F593" s="7">
        <v>0</v>
      </c>
      <c r="J593" s="7"/>
    </row>
    <row r="594" spans="6:10">
      <c r="F594" s="7">
        <v>0</v>
      </c>
      <c r="J594" s="7"/>
    </row>
    <row r="595" spans="6:10">
      <c r="F595" s="7">
        <v>0</v>
      </c>
      <c r="J595" s="7"/>
    </row>
    <row r="596" spans="6:10">
      <c r="F596" s="7">
        <v>0</v>
      </c>
      <c r="J596" s="7"/>
    </row>
    <row r="597" spans="6:10">
      <c r="F597" s="7">
        <v>0</v>
      </c>
      <c r="J597" s="7"/>
    </row>
    <row r="598" spans="6:10">
      <c r="F598" s="7">
        <v>0</v>
      </c>
      <c r="J598" s="7"/>
    </row>
    <row r="599" spans="6:10">
      <c r="F599" s="7">
        <v>0</v>
      </c>
      <c r="J599" s="7"/>
    </row>
    <row r="600" spans="6:10">
      <c r="F600" s="7">
        <v>0</v>
      </c>
      <c r="J600" s="7"/>
    </row>
    <row r="601" spans="6:10">
      <c r="F601" s="7">
        <v>0</v>
      </c>
      <c r="J601" s="7"/>
    </row>
    <row r="602" spans="6:10">
      <c r="F602" s="7">
        <v>0</v>
      </c>
      <c r="J602" s="7"/>
    </row>
    <row r="603" spans="6:10">
      <c r="F603" s="7">
        <v>0</v>
      </c>
      <c r="J603" s="7"/>
    </row>
    <row r="604" spans="6:10">
      <c r="F604" s="7">
        <v>0</v>
      </c>
      <c r="J604" s="7"/>
    </row>
    <row r="605" spans="6:10">
      <c r="F605" s="7">
        <v>0</v>
      </c>
      <c r="J605" s="7"/>
    </row>
    <row r="606" spans="6:10">
      <c r="F606" s="7">
        <v>0</v>
      </c>
      <c r="J606" s="7"/>
    </row>
    <row r="607" spans="6:10">
      <c r="F607" s="7">
        <v>0</v>
      </c>
      <c r="J607" s="7"/>
    </row>
    <row r="608" spans="6:10">
      <c r="F608" s="7">
        <v>0</v>
      </c>
      <c r="J608" s="7"/>
    </row>
    <row r="609" spans="6:10">
      <c r="F609" s="7">
        <v>0</v>
      </c>
      <c r="J609" s="7"/>
    </row>
    <row r="610" spans="6:10">
      <c r="F610" s="7">
        <v>0</v>
      </c>
      <c r="J610" s="7"/>
    </row>
    <row r="611" spans="6:10">
      <c r="F611" s="7">
        <v>0</v>
      </c>
      <c r="J611" s="7"/>
    </row>
    <row r="612" spans="6:10">
      <c r="F612" s="7">
        <v>0</v>
      </c>
      <c r="J612" s="7"/>
    </row>
    <row r="613" spans="6:10">
      <c r="F613" s="7">
        <v>0</v>
      </c>
      <c r="J613" s="7"/>
    </row>
    <row r="614" spans="6:10">
      <c r="F614" s="7">
        <v>0</v>
      </c>
      <c r="J614" s="7"/>
    </row>
    <row r="615" spans="6:10">
      <c r="F615" s="7">
        <v>0</v>
      </c>
      <c r="J615" s="7"/>
    </row>
    <row r="616" spans="6:10">
      <c r="F616" s="7">
        <v>0</v>
      </c>
      <c r="J616" s="7"/>
    </row>
    <row r="617" spans="6:10">
      <c r="F617" s="7">
        <v>0</v>
      </c>
      <c r="J617" s="7"/>
    </row>
    <row r="618" spans="6:10">
      <c r="F618" s="7">
        <v>0</v>
      </c>
      <c r="J618" s="7"/>
    </row>
    <row r="619" spans="6:10">
      <c r="F619" s="7">
        <v>0</v>
      </c>
      <c r="J619" s="7"/>
    </row>
    <row r="620" spans="6:10">
      <c r="F620" s="7">
        <v>0</v>
      </c>
      <c r="J620" s="7"/>
    </row>
    <row r="621" spans="6:10">
      <c r="F621" s="7">
        <v>0</v>
      </c>
      <c r="J621" s="7"/>
    </row>
    <row r="622" spans="6:10">
      <c r="F622" s="7">
        <v>0</v>
      </c>
      <c r="J622" s="7"/>
    </row>
    <row r="623" spans="6:10">
      <c r="F623" s="7">
        <v>0</v>
      </c>
      <c r="J623" s="7"/>
    </row>
    <row r="624" spans="6:10">
      <c r="F624" s="7">
        <v>0</v>
      </c>
      <c r="J624" s="7"/>
    </row>
    <row r="625" spans="6:10">
      <c r="F625" s="7">
        <v>0</v>
      </c>
      <c r="J625" s="7"/>
    </row>
    <row r="626" spans="6:10">
      <c r="F626" s="7">
        <v>0</v>
      </c>
      <c r="J626" s="7"/>
    </row>
    <row r="627" spans="6:10">
      <c r="F627" s="7">
        <v>0</v>
      </c>
      <c r="J627" s="7"/>
    </row>
    <row r="628" spans="6:10">
      <c r="F628" s="7">
        <v>0</v>
      </c>
      <c r="J628" s="7"/>
    </row>
    <row r="629" spans="6:10">
      <c r="F629" s="7">
        <v>0</v>
      </c>
      <c r="J629" s="7"/>
    </row>
    <row r="630" spans="6:10">
      <c r="F630" s="7">
        <v>0</v>
      </c>
      <c r="J630" s="7"/>
    </row>
    <row r="631" spans="6:10">
      <c r="F631" s="7">
        <v>0</v>
      </c>
      <c r="J631" s="7"/>
    </row>
    <row r="632" spans="6:10">
      <c r="F632" s="7">
        <v>0</v>
      </c>
      <c r="J632" s="7"/>
    </row>
    <row r="633" spans="6:10">
      <c r="F633" s="7">
        <v>0</v>
      </c>
      <c r="J633" s="7"/>
    </row>
    <row r="634" spans="6:10">
      <c r="F634" s="7">
        <v>0</v>
      </c>
      <c r="J634" s="7"/>
    </row>
    <row r="635" spans="6:10">
      <c r="F635" s="7">
        <v>0</v>
      </c>
      <c r="J635" s="7"/>
    </row>
    <row r="636" spans="6:10">
      <c r="F636" s="7">
        <v>0</v>
      </c>
      <c r="J636" s="7"/>
    </row>
    <row r="637" spans="6:10">
      <c r="F637" s="7">
        <v>0</v>
      </c>
      <c r="J637" s="7"/>
    </row>
    <row r="638" spans="6:10">
      <c r="F638" s="7">
        <v>0</v>
      </c>
      <c r="J638" s="7"/>
    </row>
    <row r="639" spans="6:10">
      <c r="F639" s="7">
        <v>0</v>
      </c>
      <c r="J639" s="7"/>
    </row>
    <row r="640" spans="6:10">
      <c r="F640" s="7">
        <v>0</v>
      </c>
      <c r="J640" s="7"/>
    </row>
    <row r="641" spans="6:10">
      <c r="F641" s="7">
        <v>0</v>
      </c>
      <c r="J641" s="7"/>
    </row>
    <row r="642" spans="6:10">
      <c r="F642" s="7">
        <v>0</v>
      </c>
      <c r="J642" s="7"/>
    </row>
    <row r="643" spans="6:10">
      <c r="F643" s="7">
        <v>0</v>
      </c>
      <c r="J643" s="7"/>
    </row>
    <row r="644" spans="6:10">
      <c r="F644" s="7">
        <v>0</v>
      </c>
      <c r="J644" s="7"/>
    </row>
    <row r="645" spans="6:10">
      <c r="F645" s="7">
        <v>0</v>
      </c>
      <c r="J645" s="7"/>
    </row>
    <row r="646" spans="6:10">
      <c r="F646" s="7">
        <v>0</v>
      </c>
      <c r="J646" s="7"/>
    </row>
    <row r="647" spans="6:10">
      <c r="F647" s="7">
        <v>0</v>
      </c>
      <c r="J647" s="7"/>
    </row>
    <row r="648" spans="6:10">
      <c r="F648" s="7">
        <v>0</v>
      </c>
      <c r="J648" s="7"/>
    </row>
    <row r="649" spans="6:10">
      <c r="F649" s="7">
        <v>0</v>
      </c>
      <c r="J649" s="7"/>
    </row>
    <row r="650" spans="6:10">
      <c r="F650" s="7">
        <v>0</v>
      </c>
      <c r="J650" s="7"/>
    </row>
    <row r="651" spans="6:10">
      <c r="F651" s="7">
        <v>0</v>
      </c>
      <c r="J651" s="7"/>
    </row>
    <row r="652" spans="6:10">
      <c r="F652" s="7">
        <v>0</v>
      </c>
      <c r="J652" s="7"/>
    </row>
    <row r="653" spans="6:10">
      <c r="F653" s="7">
        <v>0</v>
      </c>
      <c r="J653" s="7"/>
    </row>
    <row r="654" spans="6:10">
      <c r="F654" s="7">
        <v>0</v>
      </c>
      <c r="J654" s="7"/>
    </row>
    <row r="655" spans="6:10">
      <c r="F655" s="7">
        <v>0</v>
      </c>
      <c r="J655" s="7"/>
    </row>
    <row r="656" spans="6:10">
      <c r="F656" s="7">
        <v>0</v>
      </c>
      <c r="J656" s="7"/>
    </row>
    <row r="657" spans="6:10">
      <c r="F657" s="7">
        <v>0</v>
      </c>
      <c r="J657" s="7"/>
    </row>
    <row r="658" spans="6:10">
      <c r="F658" s="7">
        <v>0</v>
      </c>
      <c r="J658" s="7"/>
    </row>
    <row r="659" spans="6:10">
      <c r="F659" s="7">
        <v>0</v>
      </c>
      <c r="J659" s="7"/>
    </row>
    <row r="660" spans="6:10">
      <c r="F660" s="7">
        <v>0</v>
      </c>
      <c r="J660" s="7"/>
    </row>
    <row r="661" spans="6:10">
      <c r="F661" s="7">
        <v>0</v>
      </c>
      <c r="J661" s="7"/>
    </row>
    <row r="662" spans="6:10">
      <c r="F662" s="7">
        <v>0</v>
      </c>
      <c r="J662" s="7"/>
    </row>
    <row r="663" spans="6:10">
      <c r="F663" s="7">
        <v>0</v>
      </c>
      <c r="J663" s="7"/>
    </row>
    <row r="664" spans="6:10">
      <c r="F664" s="7">
        <v>0</v>
      </c>
      <c r="J664" s="7"/>
    </row>
    <row r="665" spans="6:10">
      <c r="F665" s="7">
        <v>0</v>
      </c>
      <c r="J665" s="7"/>
    </row>
    <row r="666" spans="6:10">
      <c r="F666" s="7">
        <v>0</v>
      </c>
      <c r="J666" s="7"/>
    </row>
    <row r="667" spans="6:10">
      <c r="F667" s="7">
        <v>0</v>
      </c>
      <c r="J667" s="7"/>
    </row>
    <row r="668" spans="6:10">
      <c r="F668" s="7">
        <v>0</v>
      </c>
      <c r="J668" s="7"/>
    </row>
    <row r="669" spans="6:10">
      <c r="F669" s="7">
        <v>0</v>
      </c>
      <c r="J669" s="7"/>
    </row>
    <row r="670" spans="6:10">
      <c r="F670" s="7">
        <v>0</v>
      </c>
      <c r="J670" s="7"/>
    </row>
    <row r="671" spans="6:10">
      <c r="F671" s="7">
        <v>0</v>
      </c>
      <c r="J671" s="7"/>
    </row>
    <row r="672" spans="6:10">
      <c r="F672" s="7">
        <v>0</v>
      </c>
      <c r="J672" s="7"/>
    </row>
    <row r="673" spans="6:10">
      <c r="F673" s="7">
        <v>0</v>
      </c>
      <c r="J673" s="7"/>
    </row>
    <row r="674" spans="6:10">
      <c r="F674" s="7">
        <v>0</v>
      </c>
      <c r="J674" s="7"/>
    </row>
    <row r="675" spans="6:10">
      <c r="F675" s="7">
        <v>0</v>
      </c>
      <c r="J675" s="7"/>
    </row>
    <row r="676" spans="6:10">
      <c r="F676" s="7">
        <v>0</v>
      </c>
      <c r="J676" s="7"/>
    </row>
    <row r="677" spans="6:10">
      <c r="F677" s="7">
        <v>0</v>
      </c>
      <c r="J677" s="7"/>
    </row>
    <row r="678" spans="6:10">
      <c r="F678" s="7">
        <v>0</v>
      </c>
      <c r="J678" s="7"/>
    </row>
    <row r="679" spans="6:10">
      <c r="F679" s="7">
        <v>0</v>
      </c>
      <c r="J679" s="7"/>
    </row>
    <row r="680" spans="6:10">
      <c r="F680" s="7">
        <v>0</v>
      </c>
      <c r="J680" s="7"/>
    </row>
    <row r="681" spans="6:10">
      <c r="F681" s="7">
        <v>0</v>
      </c>
      <c r="J681" s="7"/>
    </row>
    <row r="682" spans="6:10">
      <c r="F682" s="7">
        <v>0</v>
      </c>
      <c r="J682" s="7"/>
    </row>
    <row r="683" spans="6:10">
      <c r="F683" s="7">
        <v>0</v>
      </c>
      <c r="J683" s="7"/>
    </row>
    <row r="684" spans="6:10">
      <c r="F684" s="7">
        <v>0</v>
      </c>
      <c r="J684" s="7"/>
    </row>
    <row r="685" spans="6:10">
      <c r="F685" s="7">
        <v>0</v>
      </c>
      <c r="J685" s="7"/>
    </row>
    <row r="686" spans="6:10">
      <c r="F686" s="7">
        <v>0</v>
      </c>
      <c r="J686" s="7"/>
    </row>
    <row r="687" spans="6:10">
      <c r="F687" s="7">
        <v>0</v>
      </c>
      <c r="J687" s="7"/>
    </row>
    <row r="688" spans="6:10">
      <c r="F688" s="7">
        <v>0</v>
      </c>
      <c r="J688" s="7"/>
    </row>
    <row r="689" spans="6:10">
      <c r="F689" s="7">
        <v>0</v>
      </c>
      <c r="J689" s="7"/>
    </row>
    <row r="690" spans="6:10">
      <c r="F690" s="7">
        <v>0</v>
      </c>
      <c r="J690" s="7"/>
    </row>
    <row r="691" spans="6:10">
      <c r="F691" s="7">
        <v>0</v>
      </c>
      <c r="J691" s="7"/>
    </row>
    <row r="692" spans="6:10">
      <c r="F692" s="7">
        <v>0</v>
      </c>
      <c r="J692" s="7"/>
    </row>
    <row r="693" spans="6:10">
      <c r="F693" s="7">
        <v>0</v>
      </c>
      <c r="J693" s="7"/>
    </row>
    <row r="694" spans="6:10">
      <c r="F694" s="7">
        <v>0</v>
      </c>
      <c r="J694" s="7"/>
    </row>
    <row r="695" spans="6:10">
      <c r="F695" s="7">
        <v>0</v>
      </c>
      <c r="J695" s="7"/>
    </row>
    <row r="696" spans="6:10">
      <c r="F696" s="7">
        <v>0</v>
      </c>
      <c r="J696" s="7"/>
    </row>
    <row r="697" spans="6:10">
      <c r="F697" s="7">
        <v>0</v>
      </c>
      <c r="J697" s="7"/>
    </row>
    <row r="698" spans="6:10">
      <c r="F698" s="7">
        <v>0</v>
      </c>
      <c r="J698" s="7"/>
    </row>
    <row r="699" spans="6:10">
      <c r="F699" s="7">
        <v>0</v>
      </c>
      <c r="J699" s="7"/>
    </row>
    <row r="700" spans="6:10">
      <c r="F700" s="7">
        <v>0</v>
      </c>
      <c r="J700" s="7"/>
    </row>
    <row r="701" spans="6:10">
      <c r="F701" s="7">
        <v>0</v>
      </c>
      <c r="J701" s="7"/>
    </row>
    <row r="702" spans="6:10">
      <c r="F702" s="7">
        <v>0</v>
      </c>
      <c r="J702" s="7"/>
    </row>
    <row r="703" spans="6:10">
      <c r="F703" s="7">
        <v>0</v>
      </c>
      <c r="J703" s="7"/>
    </row>
    <row r="704" spans="6:10">
      <c r="F704" s="7">
        <v>0</v>
      </c>
      <c r="J704" s="7"/>
    </row>
    <row r="705" spans="6:10">
      <c r="F705" s="7">
        <v>0</v>
      </c>
      <c r="J705" s="7"/>
    </row>
    <row r="706" spans="6:10">
      <c r="F706" s="7">
        <v>0</v>
      </c>
      <c r="J706" s="7"/>
    </row>
    <row r="707" spans="6:10">
      <c r="F707" s="7">
        <v>0</v>
      </c>
      <c r="J707" s="7"/>
    </row>
    <row r="708" spans="6:10">
      <c r="F708" s="7">
        <v>0</v>
      </c>
      <c r="J708" s="7"/>
    </row>
    <row r="709" spans="6:10">
      <c r="F709" s="7">
        <v>0</v>
      </c>
      <c r="J709" s="7"/>
    </row>
    <row r="710" spans="6:10">
      <c r="F710" s="7">
        <v>0</v>
      </c>
      <c r="J710" s="7"/>
    </row>
    <row r="711" spans="6:10">
      <c r="F711" s="7">
        <v>0</v>
      </c>
      <c r="J711" s="7"/>
    </row>
    <row r="712" spans="6:10">
      <c r="F712" s="7">
        <v>0</v>
      </c>
      <c r="J712" s="7"/>
    </row>
    <row r="713" spans="6:10">
      <c r="F713" s="7">
        <v>0</v>
      </c>
      <c r="J713" s="7"/>
    </row>
    <row r="714" spans="6:10">
      <c r="F714" s="7">
        <v>0</v>
      </c>
      <c r="J714" s="7"/>
    </row>
    <row r="715" spans="6:10">
      <c r="F715" s="7">
        <v>0</v>
      </c>
      <c r="J715" s="7"/>
    </row>
    <row r="716" spans="6:10">
      <c r="F716" s="7">
        <v>0</v>
      </c>
      <c r="J716" s="7"/>
    </row>
    <row r="717" spans="6:10">
      <c r="F717" s="7">
        <v>0</v>
      </c>
      <c r="J717" s="7"/>
    </row>
    <row r="718" spans="6:10">
      <c r="F718" s="7">
        <v>0</v>
      </c>
      <c r="J718" s="7"/>
    </row>
    <row r="719" spans="6:10">
      <c r="F719" s="7">
        <v>0</v>
      </c>
      <c r="J719" s="7"/>
    </row>
    <row r="720" spans="6:10">
      <c r="F720" s="7">
        <v>0</v>
      </c>
      <c r="J720" s="7"/>
    </row>
    <row r="721" spans="6:10">
      <c r="F721" s="7">
        <v>0</v>
      </c>
      <c r="J721" s="7"/>
    </row>
    <row r="722" spans="6:10">
      <c r="F722" s="7">
        <v>0</v>
      </c>
      <c r="J722" s="7"/>
    </row>
    <row r="723" spans="6:10">
      <c r="F723" s="7">
        <v>0</v>
      </c>
      <c r="J723" s="7"/>
    </row>
    <row r="724" spans="6:10">
      <c r="F724" s="7">
        <v>0</v>
      </c>
      <c r="J724" s="7"/>
    </row>
    <row r="725" spans="6:10">
      <c r="F725" s="7">
        <v>0</v>
      </c>
      <c r="J725" s="7"/>
    </row>
    <row r="726" spans="6:10">
      <c r="F726" s="7">
        <v>0</v>
      </c>
      <c r="J726" s="7"/>
    </row>
    <row r="727" spans="6:10">
      <c r="F727" s="7">
        <v>0</v>
      </c>
      <c r="J727" s="7"/>
    </row>
    <row r="728" spans="6:10">
      <c r="F728" s="7">
        <v>0</v>
      </c>
      <c r="J728" s="7"/>
    </row>
    <row r="729" spans="6:10">
      <c r="F729" s="7">
        <v>0</v>
      </c>
      <c r="J729" s="7"/>
    </row>
    <row r="730" spans="6:10">
      <c r="F730" s="7">
        <v>0</v>
      </c>
      <c r="J730" s="7"/>
    </row>
    <row r="731" spans="6:10">
      <c r="F731" s="7">
        <v>0</v>
      </c>
      <c r="J731" s="7"/>
    </row>
    <row r="732" spans="6:10">
      <c r="F732" s="7">
        <v>0</v>
      </c>
      <c r="J732" s="7"/>
    </row>
    <row r="733" spans="6:10">
      <c r="F733" s="7">
        <v>0</v>
      </c>
      <c r="J733" s="7"/>
    </row>
    <row r="734" spans="6:10">
      <c r="F734" s="7">
        <v>0</v>
      </c>
      <c r="J734" s="7"/>
    </row>
    <row r="735" spans="6:10">
      <c r="F735" s="7">
        <v>0</v>
      </c>
      <c r="J735" s="7"/>
    </row>
    <row r="736" spans="6:10">
      <c r="F736" s="7">
        <v>0</v>
      </c>
      <c r="J736" s="7"/>
    </row>
    <row r="737" spans="6:10">
      <c r="F737" s="7">
        <v>0</v>
      </c>
      <c r="J737" s="7"/>
    </row>
    <row r="738" spans="6:10">
      <c r="F738" s="7">
        <v>0</v>
      </c>
      <c r="J738" s="7"/>
    </row>
    <row r="739" spans="6:10">
      <c r="F739" s="7">
        <v>0</v>
      </c>
      <c r="J739" s="7"/>
    </row>
    <row r="740" spans="6:10">
      <c r="F740" s="7">
        <v>0</v>
      </c>
      <c r="J740" s="7"/>
    </row>
    <row r="741" spans="6:10">
      <c r="F741" s="7">
        <v>0</v>
      </c>
      <c r="J741" s="7"/>
    </row>
    <row r="742" spans="6:10">
      <c r="F742" s="7">
        <v>0</v>
      </c>
      <c r="J742" s="7"/>
    </row>
    <row r="743" spans="6:10">
      <c r="F743" s="7">
        <v>0</v>
      </c>
      <c r="J743" s="7"/>
    </row>
    <row r="744" spans="6:10">
      <c r="F744" s="7">
        <v>0</v>
      </c>
      <c r="J744" s="7"/>
    </row>
    <row r="745" spans="6:10">
      <c r="F745" s="7">
        <v>0</v>
      </c>
      <c r="J745" s="7"/>
    </row>
    <row r="746" spans="6:10">
      <c r="F746" s="7">
        <v>0</v>
      </c>
      <c r="J746" s="7"/>
    </row>
    <row r="747" spans="6:10">
      <c r="F747" s="7">
        <v>0</v>
      </c>
      <c r="J747" s="7"/>
    </row>
    <row r="748" spans="6:10">
      <c r="F748" s="7">
        <v>0</v>
      </c>
      <c r="J748" s="7"/>
    </row>
    <row r="749" spans="6:10">
      <c r="F749" s="7">
        <v>0</v>
      </c>
      <c r="J749" s="7"/>
    </row>
    <row r="750" spans="6:10">
      <c r="F750" s="7">
        <v>0</v>
      </c>
      <c r="J750" s="7"/>
    </row>
    <row r="751" spans="6:10">
      <c r="F751" s="7">
        <v>0</v>
      </c>
      <c r="J751" s="7"/>
    </row>
    <row r="752" spans="6:10">
      <c r="F752" s="7">
        <v>0</v>
      </c>
      <c r="J752" s="7"/>
    </row>
    <row r="753" spans="6:10">
      <c r="F753" s="7">
        <v>0</v>
      </c>
      <c r="J753" s="7"/>
    </row>
    <row r="754" spans="6:10">
      <c r="F754" s="7">
        <v>0</v>
      </c>
      <c r="J754" s="7"/>
    </row>
    <row r="755" spans="6:10">
      <c r="F755" s="7">
        <v>0</v>
      </c>
      <c r="J755" s="7"/>
    </row>
    <row r="756" spans="6:10">
      <c r="F756" s="7">
        <v>0</v>
      </c>
      <c r="J756" s="7"/>
    </row>
    <row r="757" spans="6:10">
      <c r="F757" s="7">
        <v>0</v>
      </c>
      <c r="J757" s="7"/>
    </row>
    <row r="758" spans="6:10">
      <c r="F758" s="7">
        <v>0</v>
      </c>
      <c r="J758" s="7"/>
    </row>
    <row r="759" spans="6:10">
      <c r="F759" s="7">
        <v>0</v>
      </c>
      <c r="J759" s="7"/>
    </row>
    <row r="760" spans="6:10">
      <c r="F760" s="7">
        <v>0</v>
      </c>
      <c r="J760" s="7"/>
    </row>
    <row r="761" spans="6:10">
      <c r="F761" s="7">
        <v>0</v>
      </c>
      <c r="J761" s="7"/>
    </row>
    <row r="762" spans="6:10">
      <c r="F762" s="7">
        <v>0</v>
      </c>
      <c r="J762" s="7"/>
    </row>
    <row r="763" spans="6:10">
      <c r="F763" s="7">
        <v>0</v>
      </c>
      <c r="J763" s="7"/>
    </row>
    <row r="764" spans="6:10">
      <c r="F764" s="7">
        <v>0</v>
      </c>
      <c r="J764" s="7"/>
    </row>
    <row r="765" spans="6:10">
      <c r="F765" s="7">
        <v>0</v>
      </c>
      <c r="J765" s="7"/>
    </row>
    <row r="766" spans="6:10">
      <c r="F766" s="7">
        <v>0</v>
      </c>
      <c r="J766" s="7"/>
    </row>
    <row r="767" spans="6:10">
      <c r="F767" s="7">
        <v>0</v>
      </c>
      <c r="J767" s="7"/>
    </row>
    <row r="768" spans="6:10">
      <c r="F768" s="7">
        <v>0</v>
      </c>
      <c r="J768" s="7"/>
    </row>
    <row r="769" spans="6:10">
      <c r="F769" s="7">
        <v>0</v>
      </c>
      <c r="J769" s="7"/>
    </row>
    <row r="770" spans="6:10">
      <c r="F770" s="7">
        <v>0</v>
      </c>
      <c r="J770" s="7"/>
    </row>
    <row r="771" spans="6:10">
      <c r="F771" s="7">
        <v>0</v>
      </c>
      <c r="J771" s="7"/>
    </row>
    <row r="772" spans="6:10">
      <c r="F772" s="7">
        <v>0</v>
      </c>
      <c r="J772" s="7"/>
    </row>
    <row r="773" spans="6:10">
      <c r="F773" s="7">
        <v>0</v>
      </c>
      <c r="J773" s="7"/>
    </row>
    <row r="774" spans="6:10">
      <c r="F774" s="7">
        <v>0</v>
      </c>
      <c r="J774" s="7"/>
    </row>
    <row r="775" spans="6:10">
      <c r="F775" s="7">
        <v>0</v>
      </c>
      <c r="J775" s="7"/>
    </row>
    <row r="776" spans="6:10">
      <c r="F776" s="7">
        <v>0</v>
      </c>
      <c r="J776" s="7"/>
    </row>
    <row r="777" spans="6:10">
      <c r="F777" s="7">
        <v>0</v>
      </c>
      <c r="J777" s="7"/>
    </row>
    <row r="778" spans="6:10">
      <c r="F778" s="7">
        <v>0</v>
      </c>
      <c r="J778" s="7"/>
    </row>
    <row r="779" spans="6:10">
      <c r="F779" s="7">
        <v>0</v>
      </c>
      <c r="J779" s="7"/>
    </row>
    <row r="780" spans="6:10">
      <c r="F780" s="7">
        <v>0</v>
      </c>
      <c r="J780" s="7"/>
    </row>
    <row r="781" spans="6:10">
      <c r="F781" s="7">
        <v>0</v>
      </c>
      <c r="J781" s="7"/>
    </row>
    <row r="782" spans="6:10">
      <c r="F782" s="7">
        <v>0</v>
      </c>
      <c r="J782" s="7"/>
    </row>
    <row r="783" spans="6:10">
      <c r="F783" s="7">
        <v>0</v>
      </c>
      <c r="J783" s="7"/>
    </row>
    <row r="784" spans="6:10">
      <c r="F784" s="7">
        <v>0</v>
      </c>
      <c r="J784" s="7"/>
    </row>
    <row r="785" spans="6:10">
      <c r="F785" s="7">
        <v>0</v>
      </c>
      <c r="J785" s="7"/>
    </row>
    <row r="786" spans="6:10">
      <c r="F786" s="7">
        <v>0</v>
      </c>
      <c r="J786" s="7"/>
    </row>
    <row r="787" spans="6:10">
      <c r="F787" s="7">
        <v>0</v>
      </c>
      <c r="J787" s="7"/>
    </row>
    <row r="788" spans="6:10">
      <c r="F788" s="7">
        <v>0</v>
      </c>
      <c r="J788" s="7"/>
    </row>
    <row r="789" spans="6:10">
      <c r="F789" s="7">
        <v>0</v>
      </c>
      <c r="J789" s="7"/>
    </row>
    <row r="790" spans="6:10">
      <c r="F790" s="7">
        <v>0</v>
      </c>
      <c r="J790" s="7"/>
    </row>
    <row r="791" spans="6:10">
      <c r="F791" s="7">
        <v>0</v>
      </c>
      <c r="J791" s="7"/>
    </row>
    <row r="792" spans="6:10">
      <c r="F792" s="7">
        <v>0</v>
      </c>
      <c r="J792" s="7"/>
    </row>
    <row r="793" spans="6:10">
      <c r="F793" s="7">
        <v>0</v>
      </c>
      <c r="J793" s="7"/>
    </row>
    <row r="794" spans="6:10">
      <c r="F794" s="7">
        <v>0</v>
      </c>
      <c r="J794" s="7"/>
    </row>
    <row r="795" spans="6:10">
      <c r="F795" s="7">
        <v>0</v>
      </c>
      <c r="J795" s="7"/>
    </row>
    <row r="796" spans="6:10">
      <c r="F796" s="7">
        <v>0</v>
      </c>
      <c r="J796" s="7"/>
    </row>
    <row r="797" spans="6:10">
      <c r="F797" s="7">
        <v>0</v>
      </c>
      <c r="J797" s="7"/>
    </row>
    <row r="798" spans="6:10">
      <c r="F798" s="7">
        <v>0</v>
      </c>
      <c r="J798" s="7"/>
    </row>
    <row r="799" spans="6:10">
      <c r="F799" s="7">
        <v>0</v>
      </c>
      <c r="J799" s="7"/>
    </row>
    <row r="800" spans="6:10">
      <c r="F800" s="7">
        <v>0</v>
      </c>
      <c r="J800" s="7"/>
    </row>
    <row r="801" spans="6:10">
      <c r="F801" s="7">
        <v>0</v>
      </c>
      <c r="J801" s="7"/>
    </row>
    <row r="802" spans="6:10">
      <c r="F802" s="7">
        <v>0</v>
      </c>
      <c r="J802" s="7"/>
    </row>
    <row r="803" spans="6:10">
      <c r="F803" s="7">
        <v>0</v>
      </c>
      <c r="J803" s="7"/>
    </row>
    <row r="804" spans="6:10">
      <c r="F804" s="7">
        <v>0</v>
      </c>
      <c r="J804" s="7"/>
    </row>
    <row r="805" spans="6:10">
      <c r="F805" s="7">
        <v>0</v>
      </c>
      <c r="J805" s="7"/>
    </row>
    <row r="806" spans="6:10">
      <c r="F806" s="7">
        <v>0</v>
      </c>
      <c r="J806" s="7"/>
    </row>
    <row r="807" spans="6:10">
      <c r="F807" s="7">
        <v>0</v>
      </c>
      <c r="J807" s="7"/>
    </row>
    <row r="808" spans="6:10">
      <c r="F808" s="7">
        <v>0</v>
      </c>
      <c r="J808" s="7"/>
    </row>
    <row r="809" spans="6:10">
      <c r="F809" s="7">
        <v>0</v>
      </c>
      <c r="J809" s="7"/>
    </row>
    <row r="810" spans="6:10">
      <c r="F810" s="7">
        <v>0</v>
      </c>
      <c r="J810" s="7"/>
    </row>
    <row r="811" spans="6:10">
      <c r="F811" s="7">
        <v>0</v>
      </c>
      <c r="J811" s="7"/>
    </row>
    <row r="812" spans="6:10">
      <c r="F812" s="7">
        <v>0</v>
      </c>
      <c r="J812" s="7"/>
    </row>
    <row r="813" spans="6:10">
      <c r="F813" s="7">
        <v>0</v>
      </c>
      <c r="J813" s="7"/>
    </row>
    <row r="814" spans="6:10">
      <c r="F814" s="7">
        <v>0</v>
      </c>
      <c r="J814" s="7"/>
    </row>
    <row r="815" spans="6:10">
      <c r="F815" s="7">
        <v>0</v>
      </c>
      <c r="J815" s="7"/>
    </row>
    <row r="816" spans="6:10">
      <c r="F816" s="7">
        <v>0</v>
      </c>
      <c r="J816" s="7"/>
    </row>
    <row r="817" spans="6:10">
      <c r="F817" s="7">
        <v>0</v>
      </c>
      <c r="J817" s="7"/>
    </row>
    <row r="818" spans="6:10">
      <c r="F818" s="7">
        <v>0</v>
      </c>
      <c r="J818" s="7"/>
    </row>
    <row r="819" spans="6:10">
      <c r="F819" s="7">
        <v>0</v>
      </c>
      <c r="J819" s="7"/>
    </row>
    <row r="820" spans="6:10">
      <c r="F820" s="7">
        <v>0</v>
      </c>
      <c r="J820" s="7"/>
    </row>
    <row r="821" spans="6:10">
      <c r="F821" s="7">
        <v>0</v>
      </c>
      <c r="J821" s="7"/>
    </row>
    <row r="822" spans="6:10">
      <c r="F822" s="7">
        <v>0</v>
      </c>
      <c r="J822" s="7"/>
    </row>
    <row r="823" spans="6:10">
      <c r="F823" s="7">
        <v>0</v>
      </c>
      <c r="J823" s="7"/>
    </row>
    <row r="824" spans="6:10">
      <c r="F824" s="7">
        <v>0</v>
      </c>
      <c r="J824" s="7"/>
    </row>
    <row r="825" spans="6:10">
      <c r="F825" s="7">
        <v>0</v>
      </c>
      <c r="J825" s="7"/>
    </row>
    <row r="826" spans="6:10">
      <c r="F826" s="7">
        <v>0</v>
      </c>
      <c r="J826" s="7"/>
    </row>
    <row r="827" spans="6:10">
      <c r="F827" s="7">
        <v>0</v>
      </c>
      <c r="J827" s="7"/>
    </row>
    <row r="828" spans="6:10">
      <c r="F828" s="7">
        <v>0</v>
      </c>
      <c r="J828" s="7"/>
    </row>
    <row r="829" spans="6:10">
      <c r="F829" s="7">
        <v>0</v>
      </c>
      <c r="J829" s="7"/>
    </row>
    <row r="830" spans="6:10">
      <c r="F830" s="7">
        <v>0</v>
      </c>
      <c r="J830" s="7"/>
    </row>
    <row r="831" spans="6:10">
      <c r="F831" s="7">
        <v>0</v>
      </c>
      <c r="J831" s="7"/>
    </row>
    <row r="832" spans="6:10">
      <c r="F832" s="7">
        <v>0</v>
      </c>
      <c r="J832" s="7"/>
    </row>
    <row r="833" spans="6:10">
      <c r="F833" s="7">
        <v>0</v>
      </c>
      <c r="J833" s="7"/>
    </row>
    <row r="834" spans="6:10">
      <c r="F834" s="7">
        <v>0</v>
      </c>
      <c r="J834" s="7"/>
    </row>
    <row r="835" spans="6:10">
      <c r="F835" s="7">
        <v>0</v>
      </c>
      <c r="J835" s="7"/>
    </row>
    <row r="836" spans="6:10">
      <c r="F836" s="7">
        <v>0</v>
      </c>
      <c r="J836" s="7"/>
    </row>
    <row r="837" spans="6:10">
      <c r="F837" s="7">
        <v>0</v>
      </c>
      <c r="J837" s="7"/>
    </row>
    <row r="838" spans="6:10">
      <c r="F838" s="7">
        <v>0</v>
      </c>
      <c r="J838" s="7"/>
    </row>
    <row r="839" spans="6:10">
      <c r="F839" s="7">
        <v>0</v>
      </c>
      <c r="J839" s="7"/>
    </row>
    <row r="840" spans="6:10">
      <c r="F840" s="7">
        <v>0</v>
      </c>
      <c r="J840" s="7"/>
    </row>
    <row r="841" spans="6:10">
      <c r="F841" s="7">
        <v>0</v>
      </c>
      <c r="J841" s="7"/>
    </row>
    <row r="842" spans="6:10">
      <c r="F842" s="7">
        <v>0</v>
      </c>
      <c r="J842" s="7"/>
    </row>
    <row r="843" spans="6:10">
      <c r="F843" s="7">
        <v>0</v>
      </c>
      <c r="J843" s="7"/>
    </row>
    <row r="844" spans="6:10">
      <c r="F844" s="7">
        <v>0</v>
      </c>
      <c r="J844" s="7"/>
    </row>
    <row r="845" spans="6:10">
      <c r="F845" s="7">
        <v>0</v>
      </c>
      <c r="J845" s="7"/>
    </row>
    <row r="846" spans="6:10">
      <c r="F846" s="7">
        <v>0</v>
      </c>
      <c r="J846" s="7"/>
    </row>
    <row r="847" spans="6:10">
      <c r="F847" s="7">
        <v>0</v>
      </c>
      <c r="J847" s="7"/>
    </row>
    <row r="848" spans="6:10">
      <c r="F848" s="7">
        <v>0</v>
      </c>
      <c r="J848" s="7"/>
    </row>
    <row r="849" spans="6:10">
      <c r="F849" s="7">
        <v>0</v>
      </c>
      <c r="J849" s="7"/>
    </row>
    <row r="850" spans="6:10">
      <c r="F850" s="7">
        <v>0</v>
      </c>
      <c r="J850" s="7"/>
    </row>
    <row r="851" spans="6:10">
      <c r="F851" s="7">
        <v>0</v>
      </c>
      <c r="J851" s="7"/>
    </row>
    <row r="852" spans="6:10">
      <c r="F852" s="7">
        <v>0</v>
      </c>
      <c r="J852" s="7"/>
    </row>
    <row r="853" spans="6:10">
      <c r="F853" s="7">
        <v>0</v>
      </c>
      <c r="J853" s="7"/>
    </row>
    <row r="854" spans="6:10">
      <c r="F854" s="7">
        <v>0</v>
      </c>
      <c r="J854" s="7"/>
    </row>
    <row r="855" spans="6:10">
      <c r="F855" s="7">
        <v>0</v>
      </c>
      <c r="J855" s="7"/>
    </row>
    <row r="856" spans="6:10">
      <c r="F856" s="7">
        <v>0</v>
      </c>
      <c r="J856" s="7"/>
    </row>
    <row r="857" spans="6:10">
      <c r="F857" s="7">
        <v>0</v>
      </c>
      <c r="J857" s="7"/>
    </row>
    <row r="858" spans="6:10">
      <c r="F858" s="7">
        <v>0</v>
      </c>
      <c r="J858" s="7"/>
    </row>
    <row r="859" spans="6:10">
      <c r="F859" s="7">
        <v>0</v>
      </c>
      <c r="J859" s="7"/>
    </row>
    <row r="860" spans="6:10">
      <c r="F860" s="7">
        <v>0</v>
      </c>
      <c r="J860" s="7"/>
    </row>
    <row r="861" spans="6:10">
      <c r="F861" s="7">
        <v>0</v>
      </c>
      <c r="J861" s="7"/>
    </row>
    <row r="862" spans="6:10">
      <c r="F862" s="7">
        <v>0</v>
      </c>
      <c r="J862" s="7"/>
    </row>
    <row r="863" spans="6:10">
      <c r="F863" s="7">
        <v>0</v>
      </c>
      <c r="J863" s="7"/>
    </row>
    <row r="864" spans="6:10">
      <c r="F864" s="7">
        <v>0</v>
      </c>
      <c r="J864" s="7"/>
    </row>
    <row r="865" spans="6:10">
      <c r="F865" s="7">
        <v>0</v>
      </c>
      <c r="J865" s="7"/>
    </row>
    <row r="866" spans="6:10">
      <c r="F866" s="7">
        <v>0</v>
      </c>
      <c r="J866" s="7"/>
    </row>
    <row r="867" spans="6:10">
      <c r="F867" s="7">
        <v>0</v>
      </c>
      <c r="J867" s="7"/>
    </row>
    <row r="868" spans="6:10">
      <c r="F868" s="7">
        <v>0</v>
      </c>
      <c r="J868" s="7"/>
    </row>
    <row r="869" spans="6:10">
      <c r="F869" s="7">
        <v>0</v>
      </c>
      <c r="J869" s="7"/>
    </row>
    <row r="870" spans="6:10">
      <c r="F870" s="7">
        <v>0</v>
      </c>
      <c r="J870" s="7"/>
    </row>
    <row r="871" spans="6:10">
      <c r="F871" s="7">
        <v>0</v>
      </c>
      <c r="J871" s="7"/>
    </row>
    <row r="872" spans="6:10">
      <c r="F872" s="7">
        <v>0</v>
      </c>
      <c r="J872" s="7"/>
    </row>
    <row r="873" spans="6:10">
      <c r="F873" s="7">
        <v>0</v>
      </c>
      <c r="J873" s="7"/>
    </row>
    <row r="874" spans="6:10">
      <c r="F874" s="7">
        <v>0</v>
      </c>
      <c r="J874" s="7"/>
    </row>
    <row r="875" spans="6:10">
      <c r="F875" s="7">
        <v>0</v>
      </c>
      <c r="J875" s="7"/>
    </row>
    <row r="876" spans="6:10">
      <c r="F876" s="7">
        <v>0</v>
      </c>
      <c r="J876" s="7"/>
    </row>
    <row r="877" spans="6:10">
      <c r="F877" s="7">
        <v>0</v>
      </c>
      <c r="J877" s="7"/>
    </row>
    <row r="878" spans="6:10">
      <c r="F878" s="7">
        <v>0</v>
      </c>
      <c r="J878" s="7"/>
    </row>
    <row r="879" spans="6:10">
      <c r="F879" s="7">
        <v>0</v>
      </c>
      <c r="J879" s="7"/>
    </row>
    <row r="880" spans="6:10">
      <c r="F880" s="7">
        <v>0</v>
      </c>
      <c r="J880" s="7"/>
    </row>
    <row r="881" spans="6:10">
      <c r="F881" s="7">
        <v>0</v>
      </c>
      <c r="J881" s="7"/>
    </row>
    <row r="882" spans="6:10">
      <c r="F882" s="7">
        <v>0</v>
      </c>
      <c r="J882" s="7"/>
    </row>
    <row r="883" spans="6:10">
      <c r="F883" s="7">
        <v>0</v>
      </c>
      <c r="J883" s="7"/>
    </row>
    <row r="884" spans="6:10">
      <c r="F884" s="7">
        <v>0</v>
      </c>
      <c r="J884" s="7"/>
    </row>
    <row r="885" spans="6:10">
      <c r="F885" s="7">
        <v>0</v>
      </c>
      <c r="J885" s="7"/>
    </row>
    <row r="886" spans="6:10">
      <c r="F886" s="7">
        <v>0</v>
      </c>
      <c r="J886" s="7"/>
    </row>
    <row r="887" spans="6:10">
      <c r="F887" s="7">
        <v>0</v>
      </c>
      <c r="J887" s="7"/>
    </row>
    <row r="888" spans="6:10">
      <c r="F888" s="7">
        <v>0</v>
      </c>
      <c r="J888" s="7"/>
    </row>
    <row r="889" spans="6:10">
      <c r="F889" s="7">
        <v>0</v>
      </c>
      <c r="J889" s="7"/>
    </row>
    <row r="890" spans="6:10">
      <c r="F890" s="7">
        <v>0</v>
      </c>
      <c r="J890" s="7"/>
    </row>
    <row r="891" spans="6:10">
      <c r="F891" s="7">
        <v>0</v>
      </c>
      <c r="J891" s="7"/>
    </row>
    <row r="892" spans="6:10">
      <c r="F892" s="7">
        <v>0</v>
      </c>
      <c r="J892" s="7"/>
    </row>
    <row r="893" spans="6:10">
      <c r="F893" s="7">
        <v>0</v>
      </c>
      <c r="J893" s="7"/>
    </row>
    <row r="894" spans="6:10">
      <c r="F894" s="7">
        <v>0</v>
      </c>
      <c r="J894" s="7"/>
    </row>
    <row r="895" spans="6:10">
      <c r="F895" s="7">
        <v>0</v>
      </c>
      <c r="J895" s="7"/>
    </row>
    <row r="896" spans="6:10">
      <c r="F896" s="7">
        <v>0</v>
      </c>
      <c r="J896" s="7"/>
    </row>
    <row r="897" spans="6:10">
      <c r="F897" s="7">
        <v>0</v>
      </c>
      <c r="J897" s="7"/>
    </row>
    <row r="898" spans="6:10">
      <c r="F898" s="7">
        <v>0</v>
      </c>
      <c r="J898" s="7"/>
    </row>
    <row r="899" spans="6:10">
      <c r="F899" s="7">
        <v>0</v>
      </c>
      <c r="J899" s="7"/>
    </row>
    <row r="900" spans="6:10">
      <c r="F900" s="7">
        <v>0</v>
      </c>
      <c r="J900" s="7"/>
    </row>
    <row r="901" spans="6:10">
      <c r="F901" s="7">
        <v>0</v>
      </c>
      <c r="J901" s="7"/>
    </row>
    <row r="902" spans="6:10">
      <c r="F902" s="7">
        <v>0</v>
      </c>
      <c r="J902" s="7"/>
    </row>
    <row r="903" spans="6:10">
      <c r="F903" s="7">
        <v>0</v>
      </c>
      <c r="J903" s="7"/>
    </row>
    <row r="904" spans="6:10">
      <c r="F904" s="7">
        <v>0</v>
      </c>
      <c r="J904" s="7"/>
    </row>
    <row r="905" spans="6:10">
      <c r="F905" s="7">
        <v>0</v>
      </c>
      <c r="J905" s="7"/>
    </row>
    <row r="906" spans="6:10">
      <c r="F906" s="7">
        <v>0</v>
      </c>
      <c r="J906" s="7"/>
    </row>
    <row r="907" spans="6:10">
      <c r="F907" s="7">
        <v>0</v>
      </c>
      <c r="J907" s="7"/>
    </row>
    <row r="908" spans="6:10">
      <c r="F908" s="7">
        <v>0</v>
      </c>
      <c r="J908" s="7"/>
    </row>
    <row r="909" spans="6:10">
      <c r="F909" s="7">
        <v>0</v>
      </c>
      <c r="J909" s="7"/>
    </row>
    <row r="910" spans="6:10">
      <c r="F910" s="7">
        <v>0</v>
      </c>
      <c r="J910" s="7"/>
    </row>
    <row r="911" spans="6:10">
      <c r="F911" s="7">
        <v>0</v>
      </c>
      <c r="J911" s="7"/>
    </row>
    <row r="912" spans="6:10">
      <c r="F912" s="7">
        <v>0</v>
      </c>
      <c r="J912" s="7"/>
    </row>
    <row r="913" spans="6:10">
      <c r="F913" s="7">
        <v>0</v>
      </c>
      <c r="J913" s="7"/>
    </row>
    <row r="914" spans="6:10">
      <c r="F914" s="7">
        <v>0</v>
      </c>
      <c r="J914" s="7"/>
    </row>
    <row r="915" spans="6:10">
      <c r="F915" s="7">
        <v>0</v>
      </c>
      <c r="J915" s="7"/>
    </row>
    <row r="916" spans="6:10">
      <c r="F916" s="7">
        <v>0</v>
      </c>
      <c r="J916" s="7"/>
    </row>
    <row r="917" spans="6:10">
      <c r="F917" s="7">
        <v>0</v>
      </c>
      <c r="J917" s="7"/>
    </row>
    <row r="918" spans="6:10">
      <c r="F918" s="7">
        <v>0</v>
      </c>
      <c r="J918" s="7"/>
    </row>
    <row r="919" spans="6:10">
      <c r="F919" s="7">
        <v>0</v>
      </c>
      <c r="J919" s="7"/>
    </row>
    <row r="920" spans="6:10">
      <c r="F920" s="7">
        <v>0</v>
      </c>
      <c r="J920" s="7"/>
    </row>
    <row r="921" spans="6:10">
      <c r="F921" s="7">
        <v>0</v>
      </c>
      <c r="J921" s="7"/>
    </row>
    <row r="922" spans="6:10">
      <c r="F922" s="7">
        <v>0</v>
      </c>
      <c r="J922" s="7"/>
    </row>
    <row r="923" spans="6:10">
      <c r="F923" s="7">
        <v>0</v>
      </c>
      <c r="J923" s="7"/>
    </row>
    <row r="924" spans="6:10">
      <c r="F924" s="7">
        <v>0</v>
      </c>
      <c r="J924" s="7"/>
    </row>
    <row r="925" spans="6:10">
      <c r="F925" s="7">
        <v>0</v>
      </c>
      <c r="J925" s="7"/>
    </row>
    <row r="926" spans="6:10">
      <c r="F926" s="7">
        <v>0</v>
      </c>
      <c r="J926" s="7"/>
    </row>
    <row r="927" spans="6:10">
      <c r="F927" s="7">
        <v>0</v>
      </c>
      <c r="J927" s="7"/>
    </row>
    <row r="928" spans="6:10">
      <c r="F928" s="7">
        <v>0</v>
      </c>
      <c r="J928" s="7"/>
    </row>
    <row r="929" spans="6:10">
      <c r="F929" s="7">
        <v>0</v>
      </c>
      <c r="J929" s="7"/>
    </row>
    <row r="930" spans="6:10">
      <c r="F930" s="7">
        <v>0</v>
      </c>
      <c r="J930" s="7"/>
    </row>
    <row r="931" spans="6:10">
      <c r="F931" s="7">
        <v>0</v>
      </c>
      <c r="J931" s="7"/>
    </row>
    <row r="932" spans="6:10">
      <c r="F932" s="7">
        <v>0</v>
      </c>
      <c r="J932" s="7"/>
    </row>
    <row r="933" spans="6:10">
      <c r="F933" s="7">
        <v>0</v>
      </c>
      <c r="J933" s="7"/>
    </row>
    <row r="934" spans="6:10">
      <c r="F934" s="7">
        <v>0</v>
      </c>
      <c r="J934" s="7"/>
    </row>
    <row r="935" spans="6:10">
      <c r="F935" s="7">
        <v>0</v>
      </c>
      <c r="J935" s="7"/>
    </row>
    <row r="936" spans="6:10">
      <c r="F936" s="7">
        <v>0</v>
      </c>
      <c r="J936" s="7"/>
    </row>
    <row r="937" spans="6:10">
      <c r="F937" s="7">
        <v>0</v>
      </c>
      <c r="J937" s="7"/>
    </row>
    <row r="938" spans="6:10">
      <c r="F938" s="7">
        <v>0</v>
      </c>
      <c r="J938" s="7"/>
    </row>
    <row r="939" spans="6:10">
      <c r="F939" s="7">
        <v>0</v>
      </c>
      <c r="J939" s="7"/>
    </row>
    <row r="940" spans="6:10">
      <c r="F940" s="7">
        <v>0</v>
      </c>
      <c r="J940" s="7"/>
    </row>
    <row r="941" spans="6:10">
      <c r="F941" s="7">
        <v>0</v>
      </c>
      <c r="J941" s="7"/>
    </row>
    <row r="942" spans="6:10">
      <c r="F942" s="7">
        <v>0</v>
      </c>
      <c r="J942" s="7"/>
    </row>
    <row r="943" spans="6:10">
      <c r="F943" s="7">
        <v>0</v>
      </c>
      <c r="J943" s="7"/>
    </row>
    <row r="944" spans="6:10">
      <c r="F944" s="7">
        <v>0</v>
      </c>
      <c r="J944" s="7"/>
    </row>
    <row r="945" spans="6:10">
      <c r="F945" s="7">
        <v>0</v>
      </c>
      <c r="J945" s="7"/>
    </row>
    <row r="946" spans="6:10">
      <c r="F946" s="7">
        <v>0</v>
      </c>
      <c r="J946" s="7"/>
    </row>
    <row r="947" spans="6:10">
      <c r="F947" s="7">
        <v>0</v>
      </c>
      <c r="J947" s="7"/>
    </row>
    <row r="948" spans="6:10">
      <c r="F948" s="7">
        <v>0</v>
      </c>
      <c r="J948" s="7"/>
    </row>
    <row r="949" spans="6:10">
      <c r="F949" s="7">
        <v>0</v>
      </c>
      <c r="J949" s="7"/>
    </row>
    <row r="950" spans="6:10">
      <c r="F950" s="7">
        <v>0</v>
      </c>
      <c r="J950" s="7"/>
    </row>
    <row r="951" spans="6:10">
      <c r="F951" s="7">
        <v>0</v>
      </c>
      <c r="J951" s="7"/>
    </row>
    <row r="952" spans="6:10">
      <c r="F952" s="7">
        <v>0</v>
      </c>
      <c r="J952" s="7"/>
    </row>
    <row r="953" spans="6:10">
      <c r="F953" s="7">
        <v>0</v>
      </c>
      <c r="J953" s="7"/>
    </row>
    <row r="954" spans="6:10">
      <c r="F954" s="7">
        <v>0</v>
      </c>
      <c r="J954" s="7"/>
    </row>
    <row r="955" spans="6:10">
      <c r="F955" s="7">
        <v>0</v>
      </c>
      <c r="J955" s="7"/>
    </row>
    <row r="956" spans="6:10">
      <c r="F956" s="7">
        <v>0</v>
      </c>
      <c r="J956" s="7"/>
    </row>
    <row r="957" spans="6:10">
      <c r="F957" s="7">
        <v>0</v>
      </c>
      <c r="J957" s="7"/>
    </row>
    <row r="958" spans="6:10">
      <c r="F958" s="7">
        <v>0</v>
      </c>
      <c r="J958" s="7"/>
    </row>
    <row r="959" spans="6:10">
      <c r="F959" s="7">
        <v>0</v>
      </c>
      <c r="J959" s="7"/>
    </row>
    <row r="960" spans="6:10">
      <c r="F960" s="7">
        <v>0</v>
      </c>
      <c r="J960" s="7"/>
    </row>
    <row r="961" spans="6:10">
      <c r="F961" s="7">
        <v>0</v>
      </c>
      <c r="J961" s="7"/>
    </row>
    <row r="962" spans="6:10">
      <c r="F962" s="7">
        <v>0</v>
      </c>
      <c r="J962" s="7"/>
    </row>
    <row r="963" spans="6:10">
      <c r="F963" s="7">
        <v>0</v>
      </c>
      <c r="J963" s="7"/>
    </row>
    <row r="964" spans="6:10">
      <c r="F964" s="7">
        <v>0</v>
      </c>
      <c r="J964" s="7"/>
    </row>
    <row r="965" spans="6:10">
      <c r="F965" s="7">
        <v>0</v>
      </c>
      <c r="J965" s="7"/>
    </row>
    <row r="966" spans="6:10">
      <c r="F966" s="7">
        <v>0</v>
      </c>
      <c r="J966" s="7"/>
    </row>
    <row r="967" spans="6:10">
      <c r="F967" s="7">
        <v>0</v>
      </c>
      <c r="J967" s="7"/>
    </row>
    <row r="968" spans="6:10">
      <c r="F968" s="7">
        <v>0</v>
      </c>
      <c r="J968" s="7"/>
    </row>
    <row r="969" spans="6:10">
      <c r="F969" s="7">
        <v>0</v>
      </c>
      <c r="J969" s="7"/>
    </row>
    <row r="970" spans="6:10">
      <c r="F970" s="7">
        <v>0</v>
      </c>
      <c r="J970" s="7"/>
    </row>
    <row r="971" spans="6:10">
      <c r="F971" s="7">
        <v>0</v>
      </c>
      <c r="J971" s="7"/>
    </row>
    <row r="972" spans="6:10">
      <c r="F972" s="7">
        <v>0</v>
      </c>
      <c r="J972" s="7"/>
    </row>
    <row r="973" spans="6:10">
      <c r="F973" s="7">
        <v>0</v>
      </c>
      <c r="J973" s="7"/>
    </row>
    <row r="974" spans="6:10">
      <c r="F974" s="7">
        <v>0</v>
      </c>
      <c r="J974" s="7"/>
    </row>
    <row r="975" spans="6:10">
      <c r="F975" s="7">
        <v>0</v>
      </c>
      <c r="J975" s="7"/>
    </row>
    <row r="976" spans="6:10">
      <c r="F976" s="7">
        <v>0</v>
      </c>
      <c r="J976" s="7"/>
    </row>
    <row r="977" spans="6:10">
      <c r="F977" s="7">
        <v>0</v>
      </c>
      <c r="J977" s="7"/>
    </row>
    <row r="978" spans="6:10">
      <c r="F978" s="7">
        <v>0</v>
      </c>
      <c r="J978" s="7"/>
    </row>
    <row r="979" spans="6:10">
      <c r="F979" s="7">
        <v>0</v>
      </c>
      <c r="J979" s="7"/>
    </row>
    <row r="980" spans="6:10">
      <c r="F980" s="7">
        <v>0</v>
      </c>
      <c r="J980" s="7"/>
    </row>
    <row r="981" spans="6:10">
      <c r="F981" s="7">
        <v>0</v>
      </c>
      <c r="J981" s="7"/>
    </row>
    <row r="982" spans="6:10">
      <c r="F982" s="7">
        <v>0</v>
      </c>
      <c r="J982" s="7"/>
    </row>
    <row r="983" spans="6:10">
      <c r="F983" s="7">
        <v>0</v>
      </c>
      <c r="J983" s="7"/>
    </row>
    <row r="984" spans="6:10">
      <c r="F984" s="7">
        <v>0</v>
      </c>
      <c r="J984" s="7"/>
    </row>
    <row r="985" spans="6:10">
      <c r="F985" s="7">
        <v>0</v>
      </c>
      <c r="J985" s="7"/>
    </row>
    <row r="986" spans="6:10">
      <c r="F986" s="7">
        <v>0</v>
      </c>
      <c r="J986" s="7"/>
    </row>
    <row r="987" spans="6:10">
      <c r="F987" s="7">
        <v>0</v>
      </c>
      <c r="J987" s="7"/>
    </row>
    <row r="988" spans="6:10">
      <c r="F988" s="7">
        <v>0</v>
      </c>
      <c r="J988" s="7"/>
    </row>
    <row r="989" spans="6:10">
      <c r="F989" s="7">
        <v>0</v>
      </c>
      <c r="J989" s="7"/>
    </row>
    <row r="990" spans="6:10">
      <c r="F990" s="7">
        <v>0</v>
      </c>
      <c r="J990" s="7"/>
    </row>
    <row r="991" spans="6:10">
      <c r="F991" s="7">
        <v>0</v>
      </c>
      <c r="J991" s="7"/>
    </row>
    <row r="992" spans="6:10">
      <c r="F992" s="7">
        <v>0</v>
      </c>
      <c r="J992" s="7"/>
    </row>
    <row r="993" spans="6:10">
      <c r="F993" s="7">
        <v>0</v>
      </c>
      <c r="J993" s="7"/>
    </row>
    <row r="994" spans="6:10">
      <c r="F994" s="7">
        <v>0</v>
      </c>
      <c r="J994" s="7"/>
    </row>
    <row r="995" spans="6:10">
      <c r="F995" s="7">
        <v>0</v>
      </c>
      <c r="J995" s="7"/>
    </row>
    <row r="996" spans="6:10">
      <c r="F996" s="7">
        <v>0</v>
      </c>
      <c r="J996" s="7"/>
    </row>
    <row r="997" spans="6:10">
      <c r="F997" s="7">
        <v>0</v>
      </c>
      <c r="J997" s="7"/>
    </row>
    <row r="998" spans="6:10">
      <c r="F998" s="7">
        <v>0</v>
      </c>
      <c r="J998" s="7"/>
    </row>
    <row r="999" spans="6:10">
      <c r="F999" s="7">
        <v>0</v>
      </c>
      <c r="J999" s="7"/>
    </row>
    <row r="1000" spans="6:10">
      <c r="F1000" s="7">
        <v>0</v>
      </c>
      <c r="J1000" s="7"/>
    </row>
    <row r="1001" spans="6:10">
      <c r="F1001" s="7">
        <v>0</v>
      </c>
      <c r="J1001" s="7"/>
    </row>
    <row r="1002" spans="6:10">
      <c r="F1002" s="7">
        <v>0</v>
      </c>
      <c r="J1002" s="7"/>
    </row>
    <row r="1003" spans="6:10">
      <c r="F1003" s="7">
        <v>0</v>
      </c>
      <c r="J1003" s="7"/>
    </row>
    <row r="1004" spans="6:10">
      <c r="F1004" s="7">
        <v>0</v>
      </c>
      <c r="J1004" s="7"/>
    </row>
    <row r="1005" spans="6:10">
      <c r="F1005" s="7">
        <v>0</v>
      </c>
      <c r="J1005" s="7"/>
    </row>
    <row r="1006" spans="6:10">
      <c r="F1006" s="7">
        <v>0</v>
      </c>
      <c r="J1006" s="7"/>
    </row>
    <row r="1007" spans="6:10">
      <c r="F1007" s="7">
        <v>0</v>
      </c>
      <c r="J1007" s="7"/>
    </row>
    <row r="1008" spans="6:10">
      <c r="F1008" s="7">
        <v>0</v>
      </c>
      <c r="J1008" s="7"/>
    </row>
    <row r="1009" spans="6:10">
      <c r="F1009" s="7">
        <v>0</v>
      </c>
      <c r="J1009" s="7"/>
    </row>
    <row r="1010" spans="6:10">
      <c r="F1010" s="7">
        <v>0</v>
      </c>
      <c r="J1010" s="7"/>
    </row>
    <row r="1011" spans="6:10">
      <c r="F1011" s="7">
        <v>0</v>
      </c>
      <c r="J1011" s="7"/>
    </row>
    <row r="1012" spans="6:10">
      <c r="F1012" s="7">
        <v>0</v>
      </c>
      <c r="J1012" s="7"/>
    </row>
    <row r="1013" spans="6:10">
      <c r="F1013" s="7">
        <v>0</v>
      </c>
      <c r="J1013" s="7"/>
    </row>
    <row r="1014" spans="6:10">
      <c r="F1014" s="7">
        <v>0</v>
      </c>
      <c r="J1014" s="7"/>
    </row>
    <row r="1015" spans="6:10">
      <c r="F1015" s="7">
        <v>0</v>
      </c>
      <c r="J1015" s="7"/>
    </row>
    <row r="1016" spans="6:10">
      <c r="F1016" s="7">
        <v>0</v>
      </c>
      <c r="J1016" s="7"/>
    </row>
    <row r="1017" spans="6:10">
      <c r="F1017" s="7">
        <v>0</v>
      </c>
      <c r="J1017" s="7"/>
    </row>
    <row r="1018" spans="6:10">
      <c r="F1018" s="7">
        <v>0</v>
      </c>
      <c r="J1018" s="7"/>
    </row>
    <row r="1019" spans="6:10">
      <c r="F1019" s="7">
        <v>0</v>
      </c>
      <c r="J1019" s="7"/>
    </row>
    <row r="1020" spans="6:10">
      <c r="F1020" s="7">
        <v>0</v>
      </c>
      <c r="J1020" s="7"/>
    </row>
    <row r="1021" spans="6:10">
      <c r="F1021" s="7">
        <v>0</v>
      </c>
      <c r="J1021" s="7"/>
    </row>
    <row r="1022" spans="6:10">
      <c r="F1022" s="7">
        <v>0</v>
      </c>
      <c r="J1022" s="7"/>
    </row>
    <row r="1023" spans="6:10">
      <c r="F1023" s="7">
        <v>0</v>
      </c>
      <c r="J1023" s="7"/>
    </row>
    <row r="1024" spans="6:10">
      <c r="F1024" s="7">
        <v>0</v>
      </c>
      <c r="J1024" s="7"/>
    </row>
    <row r="1025" spans="6:10">
      <c r="F1025" s="7">
        <v>0</v>
      </c>
      <c r="J1025" s="7"/>
    </row>
    <row r="1026" spans="6:10">
      <c r="F1026" s="7">
        <v>0</v>
      </c>
      <c r="J1026" s="7"/>
    </row>
    <row r="1027" spans="6:10">
      <c r="F1027" s="7">
        <v>0</v>
      </c>
      <c r="J1027" s="7"/>
    </row>
    <row r="1028" spans="6:10">
      <c r="F1028" s="7">
        <v>0</v>
      </c>
      <c r="J1028" s="7"/>
    </row>
    <row r="1029" spans="6:10">
      <c r="F1029" s="7">
        <v>0</v>
      </c>
      <c r="J1029" s="7"/>
    </row>
    <row r="1030" spans="6:10">
      <c r="F1030" s="7">
        <v>0</v>
      </c>
      <c r="J1030" s="7"/>
    </row>
    <row r="1031" spans="6:10">
      <c r="F1031" s="7">
        <v>0</v>
      </c>
      <c r="J1031" s="7"/>
    </row>
    <row r="1032" spans="6:10">
      <c r="F1032" s="7">
        <v>0</v>
      </c>
      <c r="J1032" s="7"/>
    </row>
    <row r="1033" spans="6:10">
      <c r="F1033" s="7">
        <v>0</v>
      </c>
      <c r="J1033" s="7"/>
    </row>
    <row r="1034" spans="6:10">
      <c r="F1034" s="7">
        <v>0</v>
      </c>
      <c r="J1034" s="7"/>
    </row>
    <row r="1035" spans="6:10">
      <c r="F1035" s="7">
        <v>0</v>
      </c>
      <c r="J1035" s="7"/>
    </row>
    <row r="1036" spans="6:10">
      <c r="F1036" s="7">
        <v>0</v>
      </c>
      <c r="J1036" s="7"/>
    </row>
    <row r="1037" spans="6:10">
      <c r="F1037" s="7">
        <v>0</v>
      </c>
      <c r="J1037" s="7"/>
    </row>
    <row r="1038" spans="6:10">
      <c r="F1038" s="7">
        <v>0</v>
      </c>
      <c r="J1038" s="7"/>
    </row>
    <row r="1039" spans="6:10">
      <c r="F1039" s="7">
        <v>0</v>
      </c>
      <c r="J1039" s="7"/>
    </row>
    <row r="1040" spans="6:10">
      <c r="F1040" s="7">
        <v>0</v>
      </c>
      <c r="J1040" s="7"/>
    </row>
    <row r="1041" spans="6:10">
      <c r="F1041" s="7">
        <v>0</v>
      </c>
      <c r="J1041" s="7"/>
    </row>
    <row r="1042" spans="6:10">
      <c r="F1042" s="7">
        <v>0</v>
      </c>
      <c r="J1042" s="7"/>
    </row>
    <row r="1043" spans="6:10">
      <c r="F1043" s="7">
        <v>0</v>
      </c>
      <c r="J1043" s="7"/>
    </row>
    <row r="1044" spans="6:10">
      <c r="F1044" s="7">
        <v>0</v>
      </c>
      <c r="J1044" s="7"/>
    </row>
    <row r="1045" spans="6:10">
      <c r="F1045" s="7">
        <v>0</v>
      </c>
      <c r="J1045" s="7"/>
    </row>
    <row r="1046" spans="6:10">
      <c r="F1046" s="7">
        <v>0</v>
      </c>
      <c r="J1046" s="7"/>
    </row>
    <row r="1047" spans="6:10">
      <c r="F1047" s="7">
        <v>0</v>
      </c>
      <c r="J1047" s="7"/>
    </row>
    <row r="1048" spans="6:10">
      <c r="F1048" s="7">
        <v>0</v>
      </c>
      <c r="J1048" s="7"/>
    </row>
    <row r="1049" spans="6:10">
      <c r="F1049" s="7">
        <v>0</v>
      </c>
      <c r="J1049" s="7"/>
    </row>
    <row r="1050" spans="6:10">
      <c r="F1050" s="7">
        <v>0</v>
      </c>
      <c r="J1050" s="7"/>
    </row>
    <row r="1051" spans="6:10">
      <c r="F1051" s="7">
        <v>0</v>
      </c>
      <c r="J1051" s="7"/>
    </row>
    <row r="1052" spans="6:10">
      <c r="F1052" s="7">
        <v>0</v>
      </c>
      <c r="J1052" s="7"/>
    </row>
    <row r="1053" spans="6:10">
      <c r="F1053" s="7">
        <v>0</v>
      </c>
      <c r="J1053" s="7"/>
    </row>
    <row r="1054" spans="6:10">
      <c r="F1054" s="7">
        <v>0</v>
      </c>
      <c r="J1054" s="7"/>
    </row>
    <row r="1055" spans="6:10">
      <c r="F1055" s="7">
        <v>0</v>
      </c>
      <c r="J1055" s="7"/>
    </row>
    <row r="1056" spans="6:10">
      <c r="F1056" s="7">
        <v>0</v>
      </c>
      <c r="J1056" s="7"/>
    </row>
    <row r="1057" spans="6:10">
      <c r="F1057" s="7">
        <v>0</v>
      </c>
      <c r="J1057" s="7"/>
    </row>
    <row r="1058" spans="6:10">
      <c r="F1058" s="7">
        <v>0</v>
      </c>
      <c r="J1058" s="7"/>
    </row>
    <row r="1059" spans="6:10">
      <c r="F1059" s="7">
        <v>0</v>
      </c>
      <c r="J1059" s="7"/>
    </row>
    <row r="1060" spans="6:10">
      <c r="F1060" s="7">
        <v>0</v>
      </c>
      <c r="J1060" s="7"/>
    </row>
    <row r="1061" spans="6:10">
      <c r="F1061" s="7">
        <v>0</v>
      </c>
      <c r="J1061" s="7"/>
    </row>
    <row r="1062" spans="6:10">
      <c r="F1062" s="7">
        <v>0</v>
      </c>
      <c r="J1062" s="7"/>
    </row>
    <row r="1063" spans="6:10">
      <c r="F1063" s="7">
        <v>0</v>
      </c>
      <c r="J1063" s="7"/>
    </row>
    <row r="1064" spans="6:10">
      <c r="F1064" s="7">
        <v>0</v>
      </c>
      <c r="J1064" s="7"/>
    </row>
    <row r="1065" spans="6:10">
      <c r="F1065" s="7">
        <v>0</v>
      </c>
      <c r="J1065" s="7"/>
    </row>
    <row r="1066" spans="6:10">
      <c r="F1066" s="7">
        <v>0</v>
      </c>
      <c r="J1066" s="7"/>
    </row>
    <row r="1067" spans="6:10">
      <c r="F1067" s="7">
        <v>0</v>
      </c>
      <c r="J1067" s="7"/>
    </row>
    <row r="1068" spans="6:10">
      <c r="F1068" s="7">
        <v>0</v>
      </c>
      <c r="J1068" s="7"/>
    </row>
    <row r="1069" spans="6:10">
      <c r="F1069" s="7">
        <v>0</v>
      </c>
      <c r="J1069" s="7"/>
    </row>
    <row r="1070" spans="6:10">
      <c r="F1070" s="7">
        <v>0</v>
      </c>
      <c r="J1070" s="7"/>
    </row>
    <row r="1071" spans="6:10">
      <c r="F1071" s="7">
        <v>0</v>
      </c>
      <c r="J1071" s="7"/>
    </row>
    <row r="1072" spans="6:10">
      <c r="F1072" s="7">
        <v>0</v>
      </c>
      <c r="J1072" s="7"/>
    </row>
    <row r="1073" spans="6:10">
      <c r="F1073" s="7">
        <v>0</v>
      </c>
      <c r="J1073" s="7"/>
    </row>
    <row r="1074" spans="6:10">
      <c r="F1074" s="7">
        <v>0</v>
      </c>
      <c r="J1074" s="7"/>
    </row>
    <row r="1075" spans="6:10">
      <c r="F1075" s="7">
        <v>0</v>
      </c>
      <c r="J1075" s="7"/>
    </row>
    <row r="1076" spans="6:10">
      <c r="F1076" s="7">
        <v>0</v>
      </c>
      <c r="J1076" s="7"/>
    </row>
    <row r="1077" spans="6:10">
      <c r="F1077" s="7">
        <v>0</v>
      </c>
      <c r="J1077" s="7"/>
    </row>
    <row r="1078" spans="6:10">
      <c r="F1078" s="7">
        <v>0</v>
      </c>
      <c r="J1078" s="7"/>
    </row>
    <row r="1079" spans="6:10">
      <c r="F1079" s="7">
        <v>0</v>
      </c>
      <c r="J1079" s="7"/>
    </row>
    <row r="1080" spans="6:10">
      <c r="F1080" s="7">
        <v>0</v>
      </c>
      <c r="J1080" s="7"/>
    </row>
    <row r="1081" spans="6:10">
      <c r="F1081" s="7">
        <v>0</v>
      </c>
      <c r="J1081" s="7"/>
    </row>
    <row r="1082" spans="6:10">
      <c r="F1082" s="7">
        <v>0</v>
      </c>
      <c r="J1082" s="7"/>
    </row>
    <row r="1083" spans="6:10">
      <c r="F1083" s="7">
        <v>0</v>
      </c>
      <c r="J1083" s="7"/>
    </row>
    <row r="1084" spans="6:10">
      <c r="F1084" s="7">
        <v>0</v>
      </c>
      <c r="J1084" s="7"/>
    </row>
    <row r="1085" spans="6:10">
      <c r="F1085" s="7">
        <v>0</v>
      </c>
      <c r="J1085" s="7"/>
    </row>
    <row r="1086" spans="6:10">
      <c r="F1086" s="7">
        <v>0</v>
      </c>
      <c r="J1086" s="7"/>
    </row>
    <row r="1087" spans="6:10">
      <c r="F1087" s="7">
        <v>0</v>
      </c>
      <c r="J1087" s="7"/>
    </row>
    <row r="1088" spans="6:10">
      <c r="F1088" s="7">
        <v>0</v>
      </c>
      <c r="J1088" s="7"/>
    </row>
    <row r="1089" spans="6:10">
      <c r="F1089" s="7">
        <v>0</v>
      </c>
      <c r="J1089" s="7"/>
    </row>
    <row r="1090" spans="6:10">
      <c r="F1090" s="7">
        <v>0</v>
      </c>
      <c r="J1090" s="7"/>
    </row>
    <row r="1091" spans="6:10">
      <c r="F1091" s="7">
        <v>0</v>
      </c>
      <c r="J1091" s="7"/>
    </row>
    <row r="1092" spans="6:10">
      <c r="F1092" s="7">
        <v>0</v>
      </c>
      <c r="J1092" s="7"/>
    </row>
    <row r="1093" spans="6:10">
      <c r="F1093" s="7">
        <v>0</v>
      </c>
      <c r="J1093" s="7"/>
    </row>
    <row r="1094" spans="6:10">
      <c r="F1094" s="7">
        <v>0</v>
      </c>
      <c r="J1094" s="7"/>
    </row>
    <row r="1095" spans="6:10">
      <c r="F1095" s="7">
        <v>0</v>
      </c>
      <c r="J1095" s="7"/>
    </row>
    <row r="1096" spans="6:10">
      <c r="F1096" s="7">
        <v>0</v>
      </c>
      <c r="J1096" s="7"/>
    </row>
    <row r="1097" spans="6:10">
      <c r="F1097" s="7">
        <v>0</v>
      </c>
      <c r="J1097" s="7"/>
    </row>
    <row r="1098" spans="6:10">
      <c r="F1098" s="7">
        <v>0</v>
      </c>
      <c r="J1098" s="7"/>
    </row>
    <row r="1099" spans="6:10">
      <c r="F1099" s="7">
        <v>0</v>
      </c>
      <c r="J1099" s="7"/>
    </row>
    <row r="1100" spans="6:10">
      <c r="F1100" s="7">
        <v>0</v>
      </c>
      <c r="J1100" s="7"/>
    </row>
    <row r="1101" spans="6:10">
      <c r="F1101" s="7">
        <v>0</v>
      </c>
      <c r="J1101" s="7"/>
    </row>
    <row r="1102" spans="6:10">
      <c r="F1102" s="7">
        <v>0</v>
      </c>
      <c r="J1102" s="7"/>
    </row>
    <row r="1103" spans="6:10">
      <c r="F1103" s="7">
        <v>0</v>
      </c>
      <c r="J1103" s="7"/>
    </row>
    <row r="1104" spans="6:10">
      <c r="F1104" s="7">
        <v>0</v>
      </c>
      <c r="J1104" s="7"/>
    </row>
    <row r="1105" spans="6:10">
      <c r="F1105" s="7">
        <v>0</v>
      </c>
      <c r="J1105" s="7"/>
    </row>
    <row r="1106" spans="6:10">
      <c r="F1106" s="7">
        <v>0</v>
      </c>
      <c r="J1106" s="7"/>
    </row>
    <row r="1107" spans="6:10">
      <c r="F1107" s="7">
        <v>0</v>
      </c>
      <c r="J1107" s="7"/>
    </row>
    <row r="1108" spans="6:10">
      <c r="F1108" s="7">
        <v>0</v>
      </c>
      <c r="J1108" s="7"/>
    </row>
    <row r="1109" spans="6:10">
      <c r="F1109" s="7">
        <v>0</v>
      </c>
      <c r="J1109" s="7"/>
    </row>
    <row r="1110" spans="6:10">
      <c r="F1110" s="7">
        <v>0</v>
      </c>
      <c r="J1110" s="7"/>
    </row>
    <row r="1111" spans="6:10">
      <c r="F1111" s="7">
        <v>0</v>
      </c>
      <c r="J1111" s="7"/>
    </row>
    <row r="1112" spans="6:10">
      <c r="F1112" s="7">
        <v>0</v>
      </c>
      <c r="J1112" s="7"/>
    </row>
    <row r="1113" spans="6:10">
      <c r="F1113" s="7">
        <v>0</v>
      </c>
      <c r="J1113" s="7"/>
    </row>
    <row r="1114" spans="6:10">
      <c r="F1114" s="7">
        <v>0</v>
      </c>
      <c r="J1114" s="7"/>
    </row>
    <row r="1115" spans="6:10">
      <c r="F1115" s="7">
        <v>0</v>
      </c>
      <c r="J1115" s="7"/>
    </row>
    <row r="1116" spans="6:10">
      <c r="F1116" s="7">
        <v>0</v>
      </c>
      <c r="J1116" s="7"/>
    </row>
    <row r="1117" spans="6:10">
      <c r="F1117" s="7">
        <v>0</v>
      </c>
      <c r="J1117" s="7"/>
    </row>
    <row r="1118" spans="6:10">
      <c r="F1118" s="7">
        <v>0</v>
      </c>
      <c r="J1118" s="7"/>
    </row>
    <row r="1119" spans="6:10">
      <c r="F1119" s="7">
        <v>0</v>
      </c>
      <c r="J1119" s="7"/>
    </row>
    <row r="1120" spans="6:10">
      <c r="F1120" s="7">
        <v>0</v>
      </c>
      <c r="J1120" s="7"/>
    </row>
    <row r="1121" spans="6:10">
      <c r="F1121" s="7">
        <v>0</v>
      </c>
      <c r="J1121" s="7"/>
    </row>
    <row r="1122" spans="6:10">
      <c r="F1122" s="7">
        <v>0</v>
      </c>
      <c r="J1122" s="7"/>
    </row>
    <row r="1123" spans="6:10">
      <c r="F1123" s="7">
        <v>0</v>
      </c>
      <c r="J1123" s="7"/>
    </row>
    <row r="1124" spans="6:10">
      <c r="F1124" s="7">
        <v>0</v>
      </c>
      <c r="J1124" s="7"/>
    </row>
    <row r="1125" spans="6:10">
      <c r="F1125" s="7">
        <v>0</v>
      </c>
      <c r="J1125" s="7"/>
    </row>
    <row r="1126" spans="6:10">
      <c r="F1126" s="7">
        <v>0</v>
      </c>
      <c r="J1126" s="7"/>
    </row>
    <row r="1127" spans="6:10">
      <c r="F1127" s="7">
        <v>0</v>
      </c>
      <c r="J1127" s="7"/>
    </row>
    <row r="1128" spans="6:10">
      <c r="F1128" s="7">
        <v>0</v>
      </c>
      <c r="J1128" s="7"/>
    </row>
    <row r="1129" spans="6:10">
      <c r="F1129" s="7">
        <v>0</v>
      </c>
      <c r="J1129" s="7"/>
    </row>
    <row r="1130" spans="6:10">
      <c r="F1130" s="7">
        <v>0</v>
      </c>
      <c r="J1130" s="7"/>
    </row>
    <row r="1131" spans="6:10">
      <c r="F1131" s="7">
        <v>0</v>
      </c>
      <c r="J1131" s="7"/>
    </row>
    <row r="1132" spans="6:10">
      <c r="F1132" s="7">
        <v>0</v>
      </c>
      <c r="J1132" s="7"/>
    </row>
    <row r="1133" spans="6:10">
      <c r="F1133" s="7">
        <v>0</v>
      </c>
      <c r="J1133" s="7"/>
    </row>
    <row r="1134" spans="6:10">
      <c r="F1134" s="7">
        <v>0</v>
      </c>
      <c r="J1134" s="7"/>
    </row>
    <row r="1135" spans="6:10">
      <c r="F1135" s="7">
        <v>0</v>
      </c>
      <c r="J1135" s="7"/>
    </row>
    <row r="1136" spans="6:10">
      <c r="F1136" s="7">
        <v>0</v>
      </c>
      <c r="J1136" s="7"/>
    </row>
    <row r="1137" spans="6:10">
      <c r="F1137" s="7">
        <v>0</v>
      </c>
      <c r="J1137" s="7"/>
    </row>
    <row r="1138" spans="6:10">
      <c r="F1138" s="7">
        <v>0</v>
      </c>
      <c r="J1138" s="7"/>
    </row>
    <row r="1139" spans="6:10">
      <c r="F1139" s="7">
        <v>0</v>
      </c>
      <c r="J1139" s="7"/>
    </row>
    <row r="1140" spans="6:10">
      <c r="F1140" s="7">
        <v>0</v>
      </c>
      <c r="J1140" s="7"/>
    </row>
    <row r="1141" spans="6:10">
      <c r="F1141" s="7">
        <v>0</v>
      </c>
      <c r="J1141" s="7"/>
    </row>
    <row r="1142" spans="6:10">
      <c r="F1142" s="7">
        <v>0</v>
      </c>
      <c r="J1142" s="7"/>
    </row>
    <row r="1143" spans="6:10">
      <c r="F1143" s="7">
        <v>0</v>
      </c>
      <c r="J1143" s="7"/>
    </row>
    <row r="1144" spans="6:10">
      <c r="F1144" s="7">
        <v>0</v>
      </c>
      <c r="J1144" s="7"/>
    </row>
    <row r="1145" spans="6:10">
      <c r="F1145" s="7">
        <v>0</v>
      </c>
      <c r="J1145" s="7"/>
    </row>
    <row r="1146" spans="6:10">
      <c r="F1146" s="7">
        <v>0</v>
      </c>
      <c r="J1146" s="7"/>
    </row>
    <row r="1147" spans="6:10">
      <c r="F1147" s="7">
        <v>0</v>
      </c>
      <c r="J1147" s="7"/>
    </row>
    <row r="1148" spans="6:10">
      <c r="F1148" s="7">
        <v>0</v>
      </c>
      <c r="J1148" s="7"/>
    </row>
    <row r="1149" spans="6:10">
      <c r="F1149" s="7">
        <v>0</v>
      </c>
      <c r="J1149" s="7"/>
    </row>
    <row r="1150" spans="6:10">
      <c r="F1150" s="7">
        <v>0</v>
      </c>
      <c r="J1150" s="7"/>
    </row>
    <row r="1151" spans="6:10">
      <c r="F1151" s="7">
        <v>0</v>
      </c>
      <c r="J1151" s="7"/>
    </row>
    <row r="1152" spans="6:10">
      <c r="F1152" s="7">
        <v>0</v>
      </c>
      <c r="J1152" s="7"/>
    </row>
    <row r="1153" spans="6:10">
      <c r="F1153" s="7">
        <v>0</v>
      </c>
      <c r="J1153" s="7"/>
    </row>
    <row r="1154" spans="6:10">
      <c r="F1154" s="7">
        <v>0</v>
      </c>
      <c r="J1154" s="7"/>
    </row>
    <row r="1155" spans="6:10">
      <c r="F1155" s="7">
        <v>0</v>
      </c>
      <c r="J1155" s="7"/>
    </row>
    <row r="1156" spans="6:10">
      <c r="F1156" s="7">
        <v>0</v>
      </c>
      <c r="J1156" s="7"/>
    </row>
    <row r="1157" spans="6:10">
      <c r="F1157" s="7">
        <v>0</v>
      </c>
      <c r="J1157" s="7"/>
    </row>
    <row r="1158" spans="6:10">
      <c r="F1158" s="7">
        <v>0</v>
      </c>
      <c r="J1158" s="7"/>
    </row>
    <row r="1159" spans="6:10">
      <c r="F1159" s="7">
        <v>0</v>
      </c>
      <c r="J1159" s="7"/>
    </row>
    <row r="1160" spans="6:10">
      <c r="F1160" s="7">
        <v>0</v>
      </c>
      <c r="J1160" s="7"/>
    </row>
    <row r="1161" spans="6:10">
      <c r="F1161" s="7">
        <v>0</v>
      </c>
      <c r="J1161" s="7"/>
    </row>
    <row r="1162" spans="6:10">
      <c r="F1162" s="7">
        <v>0</v>
      </c>
      <c r="J1162" s="7"/>
    </row>
    <row r="1163" spans="6:10">
      <c r="F1163" s="7">
        <v>0</v>
      </c>
      <c r="J1163" s="7"/>
    </row>
    <row r="1164" spans="6:10">
      <c r="F1164" s="7">
        <v>0</v>
      </c>
      <c r="J1164" s="7"/>
    </row>
    <row r="1165" spans="6:10">
      <c r="F1165" s="7">
        <v>0</v>
      </c>
      <c r="J1165" s="7"/>
    </row>
    <row r="1166" spans="6:10">
      <c r="F1166" s="7">
        <v>0</v>
      </c>
      <c r="J1166" s="7"/>
    </row>
    <row r="1167" spans="6:10">
      <c r="F1167" s="7">
        <v>0</v>
      </c>
      <c r="J1167" s="7"/>
    </row>
    <row r="1168" spans="6:10">
      <c r="F1168" s="7">
        <v>0</v>
      </c>
      <c r="J1168" s="7"/>
    </row>
    <row r="1169" spans="6:10">
      <c r="F1169" s="7">
        <v>0</v>
      </c>
      <c r="J1169" s="7"/>
    </row>
    <row r="1170" spans="6:10">
      <c r="F1170" s="7">
        <v>0</v>
      </c>
      <c r="J1170" s="7"/>
    </row>
    <row r="1171" spans="6:10">
      <c r="F1171" s="7">
        <v>0</v>
      </c>
      <c r="J1171" s="7"/>
    </row>
    <row r="1172" spans="6:10">
      <c r="F1172" s="7">
        <v>0</v>
      </c>
      <c r="J1172" s="7"/>
    </row>
    <row r="1173" spans="6:10">
      <c r="F1173" s="7">
        <v>0</v>
      </c>
      <c r="J1173" s="7"/>
    </row>
    <row r="1174" spans="6:10">
      <c r="F1174" s="7">
        <v>0</v>
      </c>
      <c r="J1174" s="7"/>
    </row>
    <row r="1175" spans="6:10">
      <c r="F1175" s="7">
        <v>0</v>
      </c>
      <c r="J1175" s="7"/>
    </row>
    <row r="1176" spans="6:10">
      <c r="F1176" s="7">
        <v>0</v>
      </c>
      <c r="J1176" s="7"/>
    </row>
    <row r="1177" spans="6:10">
      <c r="F1177" s="7">
        <v>0</v>
      </c>
      <c r="J1177" s="7"/>
    </row>
    <row r="1178" spans="6:10">
      <c r="F1178" s="7">
        <v>0</v>
      </c>
      <c r="J1178" s="7"/>
    </row>
    <row r="1179" spans="6:10">
      <c r="F1179" s="7">
        <v>0</v>
      </c>
      <c r="J1179" s="7"/>
    </row>
    <row r="1180" spans="6:10">
      <c r="F1180" s="7">
        <v>0</v>
      </c>
      <c r="J1180" s="7"/>
    </row>
    <row r="1181" spans="6:10">
      <c r="F1181" s="7">
        <v>0</v>
      </c>
      <c r="J1181" s="7"/>
    </row>
    <row r="1182" spans="6:10">
      <c r="F1182" s="7">
        <v>0</v>
      </c>
      <c r="J1182" s="7"/>
    </row>
    <row r="1183" spans="6:10">
      <c r="F1183" s="7">
        <v>0</v>
      </c>
      <c r="J1183" s="7"/>
    </row>
    <row r="1184" spans="6:10">
      <c r="F1184" s="7">
        <v>0</v>
      </c>
      <c r="J1184" s="7"/>
    </row>
    <row r="1185" spans="6:10">
      <c r="F1185" s="7">
        <v>0</v>
      </c>
      <c r="J1185" s="7"/>
    </row>
    <row r="1186" spans="6:10">
      <c r="F1186" s="7">
        <v>0</v>
      </c>
      <c r="J1186" s="7"/>
    </row>
    <row r="1187" spans="6:10">
      <c r="F1187" s="7">
        <v>0</v>
      </c>
      <c r="J1187" s="7"/>
    </row>
    <row r="1188" spans="6:10">
      <c r="F1188" s="7">
        <v>0</v>
      </c>
      <c r="J1188" s="7"/>
    </row>
    <row r="1189" spans="6:10">
      <c r="F1189" s="7">
        <v>0</v>
      </c>
      <c r="J1189" s="7"/>
    </row>
    <row r="1190" spans="6:10">
      <c r="F1190" s="7">
        <v>0</v>
      </c>
      <c r="J1190" s="7"/>
    </row>
    <row r="1191" spans="6:10">
      <c r="F1191" s="7">
        <v>0</v>
      </c>
      <c r="J1191" s="7"/>
    </row>
    <row r="1192" spans="6:10">
      <c r="F1192" s="7">
        <v>0</v>
      </c>
      <c r="J1192" s="7"/>
    </row>
    <row r="1193" spans="6:10">
      <c r="F1193" s="7">
        <v>0</v>
      </c>
      <c r="J1193" s="7"/>
    </row>
    <row r="1194" spans="6:10">
      <c r="F1194" s="7">
        <v>0</v>
      </c>
      <c r="J1194" s="7"/>
    </row>
    <row r="1195" spans="6:10">
      <c r="F1195" s="7">
        <v>0</v>
      </c>
      <c r="J1195" s="7"/>
    </row>
    <row r="1196" spans="6:10">
      <c r="F1196" s="7">
        <v>0</v>
      </c>
      <c r="J1196" s="7"/>
    </row>
    <row r="1197" spans="6:10">
      <c r="F1197" s="7">
        <v>0</v>
      </c>
      <c r="J1197" s="7"/>
    </row>
    <row r="1198" spans="6:10">
      <c r="F1198" s="7">
        <v>0</v>
      </c>
      <c r="J1198" s="7"/>
    </row>
    <row r="1199" spans="6:10">
      <c r="F1199" s="7">
        <v>0</v>
      </c>
      <c r="J1199" s="7"/>
    </row>
    <row r="1200" spans="6:10">
      <c r="F1200" s="7">
        <v>0</v>
      </c>
      <c r="J1200" s="7"/>
    </row>
    <row r="1201" spans="6:10">
      <c r="F1201" s="7">
        <v>0</v>
      </c>
      <c r="J1201" s="7"/>
    </row>
    <row r="1202" spans="6:10">
      <c r="F1202" s="7">
        <v>0</v>
      </c>
      <c r="J1202" s="7"/>
    </row>
    <row r="1203" spans="6:10">
      <c r="F1203" s="7">
        <v>0</v>
      </c>
      <c r="J1203" s="7"/>
    </row>
    <row r="1204" spans="6:10">
      <c r="F1204" s="7">
        <v>0</v>
      </c>
      <c r="J1204" s="7"/>
    </row>
    <row r="1205" spans="6:10">
      <c r="F1205" s="7">
        <v>0</v>
      </c>
      <c r="J1205" s="7"/>
    </row>
    <row r="1206" spans="6:10">
      <c r="F1206" s="7">
        <v>0</v>
      </c>
      <c r="J1206" s="7"/>
    </row>
    <row r="1207" spans="6:10">
      <c r="F1207" s="7">
        <v>0</v>
      </c>
      <c r="J1207" s="7"/>
    </row>
    <row r="1208" spans="6:10">
      <c r="F1208" s="7">
        <v>0</v>
      </c>
      <c r="J1208" s="7"/>
    </row>
    <row r="1209" spans="6:10">
      <c r="F1209" s="7">
        <v>0</v>
      </c>
      <c r="J1209" s="7"/>
    </row>
    <row r="1210" spans="6:10">
      <c r="F1210" s="7">
        <v>0</v>
      </c>
      <c r="J1210" s="7"/>
    </row>
    <row r="1211" spans="6:10">
      <c r="F1211" s="7">
        <v>0</v>
      </c>
      <c r="J1211" s="7"/>
    </row>
    <row r="1212" spans="6:10">
      <c r="F1212" s="7">
        <v>0</v>
      </c>
      <c r="J1212" s="7"/>
    </row>
    <row r="1213" spans="6:10">
      <c r="F1213" s="7">
        <v>0</v>
      </c>
      <c r="J1213" s="7"/>
    </row>
    <row r="1214" spans="6:10">
      <c r="F1214" s="7">
        <v>0</v>
      </c>
      <c r="J1214" s="7"/>
    </row>
    <row r="1215" spans="6:10">
      <c r="F1215" s="7">
        <v>0</v>
      </c>
      <c r="J1215" s="7"/>
    </row>
    <row r="1216" spans="6:10">
      <c r="F1216" s="7">
        <v>0</v>
      </c>
      <c r="J1216" s="7"/>
    </row>
    <row r="1217" spans="6:10">
      <c r="F1217" s="7">
        <v>0</v>
      </c>
      <c r="J1217" s="7"/>
    </row>
    <row r="1218" spans="6:10">
      <c r="F1218" s="7">
        <v>0</v>
      </c>
      <c r="J1218" s="7"/>
    </row>
    <row r="1219" spans="6:10">
      <c r="F1219" s="7">
        <v>0</v>
      </c>
      <c r="J1219" s="7"/>
    </row>
    <row r="1220" spans="6:10">
      <c r="F1220" s="7">
        <v>0</v>
      </c>
      <c r="J1220" s="7"/>
    </row>
    <row r="1221" spans="6:10">
      <c r="F1221" s="7">
        <v>0</v>
      </c>
      <c r="J1221" s="7"/>
    </row>
    <row r="1222" spans="6:10">
      <c r="F1222" s="7">
        <v>0</v>
      </c>
      <c r="J1222" s="7"/>
    </row>
    <row r="1223" spans="6:10">
      <c r="F1223" s="7">
        <v>0</v>
      </c>
      <c r="J1223" s="7"/>
    </row>
    <row r="1224" spans="6:10">
      <c r="F1224" s="7">
        <v>0</v>
      </c>
      <c r="J1224" s="7"/>
    </row>
    <row r="1225" spans="6:10">
      <c r="F1225" s="7">
        <v>0</v>
      </c>
      <c r="J1225" s="7"/>
    </row>
    <row r="1226" spans="6:10">
      <c r="F1226" s="7">
        <v>0</v>
      </c>
      <c r="J1226" s="7"/>
    </row>
    <row r="1227" spans="6:10">
      <c r="F1227" s="7">
        <v>0</v>
      </c>
      <c r="J1227" s="7"/>
    </row>
    <row r="1228" spans="6:10">
      <c r="F1228" s="7">
        <v>0</v>
      </c>
      <c r="J1228" s="7"/>
    </row>
    <row r="1229" spans="6:10">
      <c r="F1229" s="7">
        <v>0</v>
      </c>
      <c r="J1229" s="7"/>
    </row>
    <row r="1230" spans="6:10">
      <c r="F1230" s="7">
        <v>0</v>
      </c>
      <c r="J1230" s="7"/>
    </row>
    <row r="1231" spans="6:10">
      <c r="F1231" s="7">
        <v>0</v>
      </c>
      <c r="J1231" s="7"/>
    </row>
    <row r="1232" spans="6:10">
      <c r="F1232" s="7">
        <v>0</v>
      </c>
      <c r="J1232" s="7"/>
    </row>
    <row r="1233" spans="6:10">
      <c r="F1233" s="7">
        <v>0</v>
      </c>
      <c r="J1233" s="7"/>
    </row>
    <row r="1234" spans="6:10">
      <c r="F1234" s="7">
        <v>0</v>
      </c>
      <c r="J1234" s="7"/>
    </row>
    <row r="1235" spans="6:10">
      <c r="F1235" s="7">
        <v>0</v>
      </c>
      <c r="J1235" s="7"/>
    </row>
    <row r="1236" spans="6:10">
      <c r="F1236" s="7">
        <v>0</v>
      </c>
      <c r="J1236" s="7"/>
    </row>
    <row r="1237" spans="6:10">
      <c r="F1237" s="7">
        <v>0</v>
      </c>
      <c r="J1237" s="7"/>
    </row>
    <row r="1238" spans="6:10">
      <c r="F1238" s="7">
        <v>0</v>
      </c>
      <c r="J1238" s="7"/>
    </row>
    <row r="1239" spans="6:10">
      <c r="F1239" s="7">
        <v>0</v>
      </c>
      <c r="J1239" s="7"/>
    </row>
    <row r="1240" spans="6:10">
      <c r="F1240" s="7">
        <v>0</v>
      </c>
      <c r="J1240" s="7"/>
    </row>
    <row r="1241" spans="6:10">
      <c r="F1241" s="7">
        <v>0</v>
      </c>
      <c r="J1241" s="7"/>
    </row>
    <row r="1242" spans="6:10">
      <c r="F1242" s="7">
        <v>0</v>
      </c>
      <c r="J1242" s="7"/>
    </row>
    <row r="1243" spans="6:10">
      <c r="F1243" s="7">
        <v>0</v>
      </c>
      <c r="J1243" s="7"/>
    </row>
    <row r="1244" spans="6:10">
      <c r="F1244" s="7">
        <v>0</v>
      </c>
      <c r="J1244" s="7"/>
    </row>
    <row r="1245" spans="6:10">
      <c r="F1245" s="7">
        <v>0</v>
      </c>
      <c r="J1245" s="7"/>
    </row>
    <row r="1246" spans="6:10">
      <c r="F1246" s="7">
        <v>0</v>
      </c>
      <c r="J1246" s="7"/>
    </row>
    <row r="1247" spans="6:10">
      <c r="F1247" s="7">
        <v>0</v>
      </c>
      <c r="J1247" s="7"/>
    </row>
    <row r="1248" spans="6:10">
      <c r="F1248" s="7">
        <v>0</v>
      </c>
      <c r="J1248" s="7"/>
    </row>
    <row r="1249" spans="6:10">
      <c r="F1249" s="7">
        <v>0</v>
      </c>
      <c r="J1249" s="7"/>
    </row>
    <row r="1250" spans="6:10">
      <c r="F1250" s="7">
        <v>0</v>
      </c>
      <c r="J1250" s="7"/>
    </row>
    <row r="1251" spans="6:10">
      <c r="F1251" s="7">
        <v>0</v>
      </c>
      <c r="J1251" s="7"/>
    </row>
    <row r="1252" spans="6:10">
      <c r="F1252" s="7">
        <v>0</v>
      </c>
      <c r="J1252" s="7"/>
    </row>
    <row r="1253" spans="6:10">
      <c r="F1253" s="7">
        <v>0</v>
      </c>
      <c r="J1253" s="7"/>
    </row>
    <row r="1254" spans="6:10">
      <c r="F1254" s="7">
        <v>0</v>
      </c>
      <c r="J1254" s="7"/>
    </row>
    <row r="1255" spans="6:10">
      <c r="F1255" s="7">
        <v>0</v>
      </c>
      <c r="J1255" s="7"/>
    </row>
    <row r="1256" spans="6:10">
      <c r="F1256" s="7">
        <v>0</v>
      </c>
      <c r="J1256" s="7"/>
    </row>
    <row r="1257" spans="6:10">
      <c r="F1257" s="7">
        <v>0</v>
      </c>
      <c r="J1257" s="7"/>
    </row>
    <row r="1258" spans="6:10">
      <c r="F1258" s="7">
        <v>0</v>
      </c>
      <c r="J1258" s="7"/>
    </row>
    <row r="1259" spans="6:10">
      <c r="F1259" s="7">
        <v>0</v>
      </c>
      <c r="J1259" s="7"/>
    </row>
    <row r="1260" spans="6:10">
      <c r="F1260" s="7">
        <v>0</v>
      </c>
      <c r="J1260" s="7"/>
    </row>
    <row r="1261" spans="6:10">
      <c r="F1261" s="7">
        <v>0</v>
      </c>
      <c r="J1261" s="7"/>
    </row>
    <row r="1262" spans="6:10">
      <c r="F1262" s="7">
        <v>0</v>
      </c>
      <c r="J1262" s="7"/>
    </row>
    <row r="1263" spans="6:10">
      <c r="F1263" s="7">
        <v>0</v>
      </c>
      <c r="J1263" s="7"/>
    </row>
    <row r="1264" spans="6:10">
      <c r="F1264" s="7">
        <v>0</v>
      </c>
      <c r="J1264" s="7"/>
    </row>
    <row r="1265" spans="6:10">
      <c r="F1265" s="7">
        <v>0</v>
      </c>
      <c r="J1265" s="7"/>
    </row>
    <row r="1266" spans="6:10">
      <c r="F1266" s="7">
        <v>0</v>
      </c>
      <c r="J1266" s="7"/>
    </row>
    <row r="1267" spans="6:10">
      <c r="F1267" s="7">
        <v>0</v>
      </c>
      <c r="J1267" s="7"/>
    </row>
    <row r="1268" spans="6:10">
      <c r="F1268" s="7">
        <v>0</v>
      </c>
      <c r="J1268" s="7"/>
    </row>
    <row r="1269" spans="6:10">
      <c r="F1269" s="7">
        <v>0</v>
      </c>
      <c r="J1269" s="7"/>
    </row>
    <row r="1270" spans="6:10">
      <c r="F1270" s="7">
        <v>0</v>
      </c>
      <c r="J1270" s="7"/>
    </row>
    <row r="1271" spans="6:10">
      <c r="F1271" s="7">
        <v>0</v>
      </c>
      <c r="J1271" s="7"/>
    </row>
    <row r="1272" spans="6:10">
      <c r="F1272" s="7">
        <v>0</v>
      </c>
      <c r="J1272" s="7"/>
    </row>
    <row r="1273" spans="6:10">
      <c r="F1273" s="7">
        <v>0</v>
      </c>
      <c r="J1273" s="7"/>
    </row>
    <row r="1274" spans="6:10">
      <c r="F1274" s="7">
        <v>0</v>
      </c>
      <c r="J1274" s="7"/>
    </row>
    <row r="1275" spans="6:10">
      <c r="F1275" s="7">
        <v>0</v>
      </c>
      <c r="J1275" s="7"/>
    </row>
    <row r="1276" spans="6:10">
      <c r="F1276" s="7">
        <v>0</v>
      </c>
      <c r="J1276" s="7"/>
    </row>
    <row r="1277" spans="6:10">
      <c r="F1277" s="7">
        <v>0</v>
      </c>
      <c r="J1277" s="7"/>
    </row>
    <row r="1278" spans="6:10">
      <c r="F1278" s="7">
        <v>0</v>
      </c>
      <c r="J1278" s="7"/>
    </row>
    <row r="1279" spans="6:10">
      <c r="F1279" s="7">
        <v>0</v>
      </c>
      <c r="J1279" s="7"/>
    </row>
    <row r="1280" spans="6:10">
      <c r="F1280" s="7">
        <v>0</v>
      </c>
      <c r="J1280" s="7"/>
    </row>
    <row r="1281" spans="6:10">
      <c r="F1281" s="7">
        <v>0</v>
      </c>
      <c r="J1281" s="7"/>
    </row>
    <row r="1282" spans="6:10">
      <c r="F1282" s="7">
        <v>0</v>
      </c>
      <c r="J1282" s="7"/>
    </row>
    <row r="1283" spans="6:10">
      <c r="F1283" s="7">
        <v>0</v>
      </c>
      <c r="J1283" s="7"/>
    </row>
    <row r="1284" spans="6:10">
      <c r="F1284" s="7">
        <v>0</v>
      </c>
      <c r="J1284" s="7"/>
    </row>
    <row r="1285" spans="6:10">
      <c r="F1285" s="7">
        <v>0</v>
      </c>
      <c r="J1285" s="7"/>
    </row>
    <row r="1286" spans="6:10">
      <c r="F1286" s="7">
        <v>0</v>
      </c>
      <c r="J1286" s="7"/>
    </row>
    <row r="1287" spans="6:10">
      <c r="F1287" s="7">
        <v>0</v>
      </c>
      <c r="J1287" s="7"/>
    </row>
    <row r="1288" spans="6:10">
      <c r="F1288" s="7">
        <v>0</v>
      </c>
      <c r="J1288" s="7"/>
    </row>
    <row r="1289" spans="6:10">
      <c r="F1289" s="7">
        <v>0</v>
      </c>
      <c r="J1289" s="7"/>
    </row>
    <row r="1290" spans="6:10">
      <c r="F1290" s="7">
        <v>0</v>
      </c>
      <c r="J1290" s="7"/>
    </row>
    <row r="1291" spans="6:10">
      <c r="F1291" s="7">
        <v>0</v>
      </c>
      <c r="J1291" s="7"/>
    </row>
    <row r="1292" spans="6:10">
      <c r="F1292" s="7">
        <v>0</v>
      </c>
      <c r="J1292" s="7"/>
    </row>
    <row r="1293" spans="6:10">
      <c r="F1293" s="7">
        <v>0</v>
      </c>
      <c r="J1293" s="7"/>
    </row>
    <row r="1294" spans="6:10">
      <c r="F1294" s="7">
        <v>0</v>
      </c>
      <c r="J1294" s="7"/>
    </row>
    <row r="1295" spans="6:10">
      <c r="F1295" s="7">
        <v>0</v>
      </c>
      <c r="J1295" s="7"/>
    </row>
    <row r="1296" spans="6:10">
      <c r="F1296" s="7">
        <v>0</v>
      </c>
      <c r="J1296" s="7"/>
    </row>
    <row r="1297" spans="6:10">
      <c r="F1297" s="7">
        <v>0</v>
      </c>
      <c r="J1297" s="7"/>
    </row>
    <row r="1298" spans="6:10">
      <c r="F1298" s="7">
        <v>0</v>
      </c>
      <c r="J1298" s="7"/>
    </row>
    <row r="1299" spans="6:10">
      <c r="F1299" s="7">
        <v>0</v>
      </c>
      <c r="J1299" s="7"/>
    </row>
    <row r="1300" spans="6:10">
      <c r="F1300" s="7">
        <v>0</v>
      </c>
      <c r="J1300" s="7"/>
    </row>
    <row r="1301" spans="6:10">
      <c r="F1301" s="7">
        <v>0</v>
      </c>
      <c r="J1301" s="7"/>
    </row>
    <row r="1302" spans="6:10">
      <c r="F1302" s="7">
        <v>0</v>
      </c>
      <c r="J1302" s="7"/>
    </row>
    <row r="1303" spans="6:10">
      <c r="F1303" s="7">
        <v>0</v>
      </c>
      <c r="J1303" s="7"/>
    </row>
    <row r="1304" spans="6:10">
      <c r="F1304" s="7">
        <v>0</v>
      </c>
      <c r="J1304" s="7"/>
    </row>
    <row r="1305" spans="6:10">
      <c r="F1305" s="7">
        <v>0</v>
      </c>
      <c r="J1305" s="7"/>
    </row>
    <row r="1306" spans="6:10">
      <c r="F1306" s="7">
        <v>0</v>
      </c>
      <c r="J1306" s="7"/>
    </row>
    <row r="1307" spans="6:10">
      <c r="F1307" s="7">
        <v>0</v>
      </c>
      <c r="J1307" s="7"/>
    </row>
    <row r="1308" spans="6:10">
      <c r="F1308" s="7">
        <v>0</v>
      </c>
      <c r="J1308" s="7"/>
    </row>
    <row r="1309" spans="6:10">
      <c r="F1309" s="7">
        <v>0</v>
      </c>
      <c r="J1309" s="7"/>
    </row>
    <row r="1310" spans="6:10">
      <c r="F1310" s="7">
        <v>0</v>
      </c>
      <c r="J1310" s="7"/>
    </row>
    <row r="1311" spans="6:10">
      <c r="F1311" s="7">
        <v>0</v>
      </c>
      <c r="J1311" s="7"/>
    </row>
    <row r="1312" spans="6:10">
      <c r="F1312" s="7">
        <v>0</v>
      </c>
      <c r="J1312" s="7"/>
    </row>
    <row r="1313" spans="6:10">
      <c r="F1313" s="7">
        <v>0</v>
      </c>
      <c r="J1313" s="7"/>
    </row>
    <row r="1314" spans="6:10">
      <c r="F1314" s="7">
        <v>0</v>
      </c>
      <c r="J1314" s="7"/>
    </row>
    <row r="1315" spans="6:10">
      <c r="F1315" s="7">
        <v>0</v>
      </c>
      <c r="J1315" s="7"/>
    </row>
    <row r="1316" spans="6:10">
      <c r="F1316" s="7">
        <v>0</v>
      </c>
      <c r="J1316" s="7"/>
    </row>
    <row r="1317" spans="6:10">
      <c r="F1317" s="7">
        <v>0</v>
      </c>
      <c r="J1317" s="7"/>
    </row>
    <row r="1318" spans="6:10">
      <c r="F1318" s="7">
        <v>0</v>
      </c>
      <c r="J1318" s="7"/>
    </row>
    <row r="1319" spans="6:10">
      <c r="F1319" s="7">
        <v>0</v>
      </c>
      <c r="J1319" s="7"/>
    </row>
    <row r="1320" spans="6:10">
      <c r="F1320" s="7">
        <v>0</v>
      </c>
      <c r="J1320" s="7"/>
    </row>
    <row r="1321" spans="6:10">
      <c r="F1321" s="7">
        <v>0</v>
      </c>
      <c r="J1321" s="7"/>
    </row>
    <row r="1322" spans="6:10">
      <c r="F1322" s="7">
        <v>0</v>
      </c>
      <c r="J1322" s="7"/>
    </row>
    <row r="1323" spans="6:10">
      <c r="F1323" s="7">
        <v>0</v>
      </c>
      <c r="J1323" s="7"/>
    </row>
    <row r="1324" spans="6:10">
      <c r="F1324" s="7">
        <v>0</v>
      </c>
      <c r="J1324" s="7"/>
    </row>
    <row r="1325" spans="6:10">
      <c r="F1325" s="7">
        <v>0</v>
      </c>
      <c r="J1325" s="7"/>
    </row>
    <row r="1326" spans="6:10">
      <c r="F1326" s="7">
        <v>0</v>
      </c>
      <c r="J1326" s="7"/>
    </row>
    <row r="1327" spans="6:10">
      <c r="F1327" s="7">
        <v>0</v>
      </c>
      <c r="J1327" s="7"/>
    </row>
    <row r="1328" spans="6:10">
      <c r="F1328" s="7">
        <v>0</v>
      </c>
      <c r="J1328" s="7"/>
    </row>
    <row r="1329" spans="6:10">
      <c r="F1329" s="7">
        <v>0</v>
      </c>
      <c r="J1329" s="7"/>
    </row>
    <row r="1330" spans="6:10">
      <c r="F1330" s="7">
        <v>0</v>
      </c>
      <c r="J1330" s="7"/>
    </row>
    <row r="1331" spans="6:10">
      <c r="F1331" s="7">
        <v>0</v>
      </c>
      <c r="J1331" s="7"/>
    </row>
    <row r="1332" spans="6:10">
      <c r="F1332" s="7">
        <v>0</v>
      </c>
      <c r="J1332" s="7"/>
    </row>
    <row r="1333" spans="6:10">
      <c r="F1333" s="7">
        <v>0</v>
      </c>
      <c r="J1333" s="7"/>
    </row>
    <row r="1334" spans="6:10">
      <c r="F1334" s="7">
        <v>0</v>
      </c>
      <c r="J1334" s="7"/>
    </row>
    <row r="1335" spans="6:10">
      <c r="F1335" s="7">
        <v>0</v>
      </c>
      <c r="J1335" s="7"/>
    </row>
    <row r="1336" spans="6:10">
      <c r="F1336" s="7">
        <v>0</v>
      </c>
      <c r="J1336" s="7"/>
    </row>
    <row r="1337" spans="6:10">
      <c r="F1337" s="7">
        <v>0</v>
      </c>
      <c r="J1337" s="7"/>
    </row>
    <row r="1338" spans="6:10">
      <c r="F1338" s="7">
        <v>0</v>
      </c>
      <c r="J1338" s="7"/>
    </row>
    <row r="1339" spans="6:10">
      <c r="F1339" s="7">
        <v>0</v>
      </c>
      <c r="J1339" s="7"/>
    </row>
    <row r="1340" spans="6:10">
      <c r="F1340" s="7">
        <v>0</v>
      </c>
      <c r="J1340" s="7"/>
    </row>
    <row r="1341" spans="6:10">
      <c r="F1341" s="7">
        <v>0</v>
      </c>
      <c r="J1341" s="7"/>
    </row>
    <row r="1342" spans="6:10">
      <c r="F1342" s="7">
        <v>0</v>
      </c>
      <c r="J1342" s="7"/>
    </row>
    <row r="1343" spans="6:10">
      <c r="F1343" s="7">
        <v>0</v>
      </c>
      <c r="J1343" s="7"/>
    </row>
    <row r="1344" spans="6:10">
      <c r="F1344" s="7">
        <v>0</v>
      </c>
      <c r="J1344" s="7"/>
    </row>
    <row r="1345" spans="6:10">
      <c r="F1345" s="7">
        <v>0</v>
      </c>
      <c r="J1345" s="7"/>
    </row>
    <row r="1346" spans="6:10">
      <c r="F1346" s="7">
        <v>0</v>
      </c>
      <c r="J1346" s="7"/>
    </row>
    <row r="1347" spans="6:10">
      <c r="F1347" s="7">
        <v>0</v>
      </c>
      <c r="J1347" s="7"/>
    </row>
    <row r="1348" spans="6:10">
      <c r="F1348" s="7">
        <v>0</v>
      </c>
      <c r="J1348" s="7"/>
    </row>
    <row r="1349" spans="6:10">
      <c r="F1349" s="7">
        <v>0</v>
      </c>
      <c r="J1349" s="7"/>
    </row>
    <row r="1350" spans="6:10">
      <c r="F1350" s="7">
        <v>0</v>
      </c>
      <c r="J1350" s="7"/>
    </row>
    <row r="1351" spans="6:10">
      <c r="F1351" s="7">
        <v>0</v>
      </c>
      <c r="J1351" s="7"/>
    </row>
    <row r="1352" spans="6:10">
      <c r="F1352" s="7">
        <v>0</v>
      </c>
      <c r="J1352" s="7"/>
    </row>
    <row r="1353" spans="6:10">
      <c r="F1353" s="7">
        <v>0</v>
      </c>
      <c r="J1353" s="7"/>
    </row>
    <row r="1354" spans="6:10">
      <c r="F1354" s="7">
        <v>0</v>
      </c>
      <c r="J1354" s="7"/>
    </row>
    <row r="1355" spans="6:10">
      <c r="F1355" s="7">
        <v>0</v>
      </c>
      <c r="J1355" s="7"/>
    </row>
    <row r="1356" spans="6:10">
      <c r="F1356" s="7">
        <v>0</v>
      </c>
      <c r="J1356" s="7"/>
    </row>
    <row r="1357" spans="6:10">
      <c r="F1357" s="7">
        <v>0</v>
      </c>
      <c r="J1357" s="7"/>
    </row>
    <row r="1358" spans="6:10">
      <c r="F1358" s="7">
        <v>0</v>
      </c>
      <c r="J1358" s="7"/>
    </row>
    <row r="1359" spans="6:10">
      <c r="F1359" s="7">
        <v>0</v>
      </c>
      <c r="J1359" s="7"/>
    </row>
    <row r="1360" spans="6:10">
      <c r="F1360" s="7">
        <v>0</v>
      </c>
      <c r="J1360" s="7"/>
    </row>
    <row r="1361" spans="6:10">
      <c r="F1361" s="7">
        <v>0</v>
      </c>
      <c r="J1361" s="7"/>
    </row>
    <row r="1362" spans="6:10">
      <c r="F1362" s="7">
        <v>0</v>
      </c>
      <c r="J1362" s="7"/>
    </row>
    <row r="1363" spans="6:10">
      <c r="F1363" s="7">
        <v>0</v>
      </c>
      <c r="J1363" s="7"/>
    </row>
    <row r="1364" spans="6:10">
      <c r="F1364" s="7">
        <v>0</v>
      </c>
      <c r="J1364" s="7"/>
    </row>
    <row r="1365" spans="6:10">
      <c r="F1365" s="7">
        <v>0</v>
      </c>
      <c r="J1365" s="7"/>
    </row>
    <row r="1366" spans="6:10">
      <c r="F1366" s="7">
        <v>0</v>
      </c>
      <c r="J1366" s="7"/>
    </row>
    <row r="1367" spans="6:10">
      <c r="F1367" s="7">
        <v>0</v>
      </c>
      <c r="J1367" s="7"/>
    </row>
    <row r="1368" spans="6:10">
      <c r="F1368" s="7">
        <v>0</v>
      </c>
      <c r="J1368" s="7"/>
    </row>
    <row r="1369" spans="6:10">
      <c r="F1369" s="7">
        <v>0</v>
      </c>
      <c r="J1369" s="7"/>
    </row>
    <row r="1370" spans="6:10">
      <c r="F1370" s="7">
        <v>0</v>
      </c>
      <c r="J1370" s="7"/>
    </row>
    <row r="1371" spans="6:10">
      <c r="F1371" s="7">
        <v>0</v>
      </c>
      <c r="J1371" s="7"/>
    </row>
    <row r="1372" spans="6:10">
      <c r="F1372" s="7">
        <v>0</v>
      </c>
      <c r="J1372" s="7"/>
    </row>
    <row r="1373" spans="6:10">
      <c r="F1373" s="7">
        <v>0</v>
      </c>
      <c r="J1373" s="7"/>
    </row>
    <row r="1374" spans="6:10">
      <c r="F1374" s="7">
        <v>0</v>
      </c>
      <c r="J1374" s="7"/>
    </row>
    <row r="1375" spans="6:10">
      <c r="F1375" s="7">
        <v>0</v>
      </c>
      <c r="J1375" s="7"/>
    </row>
    <row r="1376" spans="6:10">
      <c r="F1376" s="7">
        <v>0</v>
      </c>
      <c r="J1376" s="7"/>
    </row>
    <row r="1377" spans="6:10">
      <c r="F1377" s="7">
        <v>0</v>
      </c>
      <c r="J1377" s="7"/>
    </row>
    <row r="1378" spans="6:10">
      <c r="F1378" s="7">
        <v>0</v>
      </c>
      <c r="J1378" s="7"/>
    </row>
    <row r="1379" spans="6:10">
      <c r="F1379" s="7">
        <v>0</v>
      </c>
      <c r="J1379" s="7"/>
    </row>
    <row r="1380" spans="6:10">
      <c r="F1380" s="7">
        <v>0</v>
      </c>
      <c r="J1380" s="7"/>
    </row>
    <row r="1381" spans="6:10">
      <c r="F1381" s="7">
        <v>0</v>
      </c>
      <c r="J1381" s="7"/>
    </row>
    <row r="1382" spans="6:10">
      <c r="F1382" s="7">
        <v>0</v>
      </c>
      <c r="J1382" s="7"/>
    </row>
    <row r="1383" spans="6:10">
      <c r="F1383" s="7">
        <v>0</v>
      </c>
      <c r="J1383" s="7"/>
    </row>
    <row r="1384" spans="6:10">
      <c r="F1384" s="7">
        <v>0</v>
      </c>
      <c r="J1384" s="7"/>
    </row>
    <row r="1385" spans="6:10">
      <c r="F1385" s="7">
        <v>0</v>
      </c>
      <c r="J1385" s="7"/>
    </row>
    <row r="1386" spans="6:10">
      <c r="F1386" s="7">
        <v>0</v>
      </c>
      <c r="J1386" s="7"/>
    </row>
    <row r="1387" spans="6:10">
      <c r="F1387" s="7">
        <v>0</v>
      </c>
      <c r="J1387" s="7"/>
    </row>
    <row r="1388" spans="6:10">
      <c r="F1388" s="7">
        <v>0</v>
      </c>
      <c r="J1388" s="7"/>
    </row>
    <row r="1389" spans="6:10">
      <c r="F1389" s="7">
        <v>0</v>
      </c>
      <c r="J1389" s="7"/>
    </row>
    <row r="1390" spans="6:10">
      <c r="F1390" s="7">
        <v>0</v>
      </c>
      <c r="J1390" s="7"/>
    </row>
    <row r="1391" spans="6:10">
      <c r="F1391" s="7">
        <v>0</v>
      </c>
      <c r="J1391" s="7"/>
    </row>
    <row r="1392" spans="6:10">
      <c r="F1392" s="7">
        <v>0</v>
      </c>
      <c r="J1392" s="7"/>
    </row>
    <row r="1393" spans="6:10">
      <c r="F1393" s="7">
        <v>0</v>
      </c>
      <c r="J1393" s="7"/>
    </row>
    <row r="1394" spans="6:10">
      <c r="F1394" s="7">
        <v>0</v>
      </c>
      <c r="J1394" s="7"/>
    </row>
    <row r="1395" spans="6:10">
      <c r="F1395" s="7">
        <v>0</v>
      </c>
      <c r="J1395" s="7"/>
    </row>
    <row r="1396" spans="6:10">
      <c r="F1396" s="7">
        <v>0</v>
      </c>
      <c r="J1396" s="7"/>
    </row>
    <row r="1397" spans="6:10">
      <c r="F1397" s="7">
        <v>0</v>
      </c>
      <c r="J1397" s="7"/>
    </row>
    <row r="1398" spans="6:10">
      <c r="F1398" s="7">
        <v>0</v>
      </c>
      <c r="J1398" s="7"/>
    </row>
    <row r="1399" spans="6:10">
      <c r="F1399" s="7">
        <v>0</v>
      </c>
      <c r="J1399" s="7"/>
    </row>
    <row r="1400" spans="6:10">
      <c r="F1400" s="7">
        <v>0</v>
      </c>
      <c r="J1400" s="7"/>
    </row>
    <row r="1401" spans="6:10">
      <c r="F1401" s="7">
        <v>0</v>
      </c>
      <c r="J1401" s="7"/>
    </row>
    <row r="1402" spans="6:10">
      <c r="F1402" s="7">
        <v>0</v>
      </c>
      <c r="J1402" s="7"/>
    </row>
    <row r="1403" spans="6:10">
      <c r="F1403" s="7">
        <v>0</v>
      </c>
      <c r="J1403" s="7"/>
    </row>
    <row r="1404" spans="6:10">
      <c r="F1404" s="7">
        <v>0</v>
      </c>
      <c r="J1404" s="7"/>
    </row>
    <row r="1405" spans="6:10">
      <c r="F1405" s="7">
        <v>0</v>
      </c>
      <c r="J1405" s="7"/>
    </row>
    <row r="1406" spans="6:10">
      <c r="F1406" s="7">
        <v>0</v>
      </c>
      <c r="J1406" s="7"/>
    </row>
    <row r="1407" spans="6:10">
      <c r="F1407" s="7">
        <v>0</v>
      </c>
      <c r="J1407" s="7"/>
    </row>
    <row r="1408" spans="6:10">
      <c r="F1408" s="7">
        <v>0</v>
      </c>
      <c r="J1408" s="7"/>
    </row>
    <row r="1409" spans="6:10">
      <c r="F1409" s="7">
        <v>0</v>
      </c>
      <c r="J1409" s="7"/>
    </row>
    <row r="1410" spans="6:10">
      <c r="F1410" s="7">
        <v>0</v>
      </c>
      <c r="J1410" s="7"/>
    </row>
    <row r="1411" spans="6:10">
      <c r="F1411" s="7">
        <v>0</v>
      </c>
      <c r="J1411" s="7"/>
    </row>
    <row r="1412" spans="6:10">
      <c r="F1412" s="7">
        <v>0</v>
      </c>
      <c r="J1412" s="7"/>
    </row>
    <row r="1413" spans="6:10">
      <c r="F1413" s="7">
        <v>0</v>
      </c>
      <c r="J1413" s="7"/>
    </row>
    <row r="1414" spans="6:10">
      <c r="F1414" s="7">
        <v>0</v>
      </c>
      <c r="J1414" s="7"/>
    </row>
    <row r="1415" spans="6:10">
      <c r="F1415" s="7">
        <v>0</v>
      </c>
      <c r="J1415" s="7"/>
    </row>
    <row r="1416" spans="6:10">
      <c r="F1416" s="7">
        <v>0</v>
      </c>
      <c r="J1416" s="7"/>
    </row>
    <row r="1417" spans="6:10">
      <c r="F1417" s="7">
        <v>0</v>
      </c>
      <c r="J1417" s="7"/>
    </row>
    <row r="1418" spans="6:10">
      <c r="F1418" s="7">
        <v>0</v>
      </c>
      <c r="J1418" s="7"/>
    </row>
    <row r="1419" spans="6:10">
      <c r="F1419" s="7">
        <v>0</v>
      </c>
      <c r="J1419" s="7"/>
    </row>
    <row r="1420" spans="6:10">
      <c r="F1420" s="7">
        <v>0</v>
      </c>
      <c r="J1420" s="7"/>
    </row>
    <row r="1421" spans="6:10">
      <c r="F1421" s="7">
        <v>0</v>
      </c>
      <c r="J1421" s="7"/>
    </row>
    <row r="1422" spans="6:10">
      <c r="F1422" s="7">
        <v>0</v>
      </c>
      <c r="J1422" s="7"/>
    </row>
    <row r="1423" spans="6:10">
      <c r="F1423" s="7">
        <v>0</v>
      </c>
      <c r="J1423" s="7"/>
    </row>
    <row r="1424" spans="6:10">
      <c r="F1424" s="7">
        <v>0</v>
      </c>
      <c r="J1424" s="7"/>
    </row>
    <row r="1425" spans="6:10">
      <c r="F1425" s="7">
        <v>0</v>
      </c>
      <c r="J1425" s="7"/>
    </row>
    <row r="1426" spans="6:10">
      <c r="F1426" s="7">
        <v>0</v>
      </c>
      <c r="J1426" s="7"/>
    </row>
    <row r="1427" spans="6:10">
      <c r="F1427" s="7">
        <v>0</v>
      </c>
      <c r="J1427" s="7"/>
    </row>
    <row r="1428" spans="6:10">
      <c r="F1428" s="7">
        <v>0</v>
      </c>
      <c r="J1428" s="7"/>
    </row>
    <row r="1429" spans="6:10">
      <c r="F1429" s="7">
        <v>0</v>
      </c>
      <c r="J1429" s="7"/>
    </row>
    <row r="1430" spans="6:10">
      <c r="F1430" s="7">
        <v>0</v>
      </c>
      <c r="J1430" s="7"/>
    </row>
    <row r="1431" spans="6:10">
      <c r="F1431" s="7">
        <v>0</v>
      </c>
      <c r="J1431" s="7"/>
    </row>
    <row r="1432" spans="6:10">
      <c r="F1432" s="7">
        <v>0</v>
      </c>
      <c r="J1432" s="7"/>
    </row>
    <row r="1433" spans="6:10">
      <c r="F1433" s="7">
        <v>0</v>
      </c>
      <c r="J1433" s="7"/>
    </row>
    <row r="1434" spans="6:10">
      <c r="F1434" s="7">
        <v>0</v>
      </c>
      <c r="J1434" s="7"/>
    </row>
    <row r="1435" spans="6:10">
      <c r="F1435" s="7">
        <v>0</v>
      </c>
      <c r="J1435" s="7"/>
    </row>
    <row r="1436" spans="6:10">
      <c r="F1436" s="7">
        <v>0</v>
      </c>
      <c r="J1436" s="7"/>
    </row>
    <row r="1437" spans="6:10">
      <c r="F1437" s="7">
        <v>0</v>
      </c>
      <c r="J1437" s="7"/>
    </row>
    <row r="1438" spans="6:10">
      <c r="F1438" s="7">
        <v>0</v>
      </c>
      <c r="J1438" s="7"/>
    </row>
    <row r="1439" spans="6:10">
      <c r="F1439" s="7">
        <v>0</v>
      </c>
      <c r="J1439" s="7"/>
    </row>
    <row r="1440" spans="6:10">
      <c r="F1440" s="7">
        <v>0</v>
      </c>
      <c r="J1440" s="7"/>
    </row>
    <row r="1441" spans="6:10">
      <c r="F1441" s="7">
        <v>0</v>
      </c>
      <c r="J1441" s="7"/>
    </row>
    <row r="1442" spans="6:10">
      <c r="F1442" s="7">
        <v>0</v>
      </c>
      <c r="J1442" s="7"/>
    </row>
    <row r="1443" spans="6:10">
      <c r="F1443" s="7">
        <v>0</v>
      </c>
      <c r="J1443" s="7"/>
    </row>
    <row r="1444" spans="6:10">
      <c r="F1444" s="7">
        <v>0</v>
      </c>
      <c r="J1444" s="7"/>
    </row>
    <row r="1445" spans="6:10">
      <c r="F1445" s="7">
        <v>0</v>
      </c>
      <c r="J1445" s="7"/>
    </row>
    <row r="1446" spans="6:10">
      <c r="F1446" s="7">
        <v>0</v>
      </c>
      <c r="J1446" s="7"/>
    </row>
    <row r="1447" spans="6:10">
      <c r="F1447" s="7">
        <v>0</v>
      </c>
      <c r="J1447" s="7"/>
    </row>
    <row r="1448" spans="6:10">
      <c r="F1448" s="7">
        <v>0</v>
      </c>
      <c r="J1448" s="7"/>
    </row>
    <row r="1449" spans="6:10">
      <c r="F1449" s="7">
        <v>0</v>
      </c>
      <c r="J1449" s="7"/>
    </row>
    <row r="1450" spans="6:10">
      <c r="F1450" s="7">
        <v>0</v>
      </c>
      <c r="J1450" s="7"/>
    </row>
    <row r="1451" spans="6:10">
      <c r="F1451" s="7">
        <v>0</v>
      </c>
      <c r="J1451" s="7"/>
    </row>
    <row r="1452" spans="6:10">
      <c r="F1452" s="7">
        <v>0</v>
      </c>
      <c r="J1452" s="7"/>
    </row>
    <row r="1453" spans="6:10">
      <c r="F1453" s="7">
        <v>0</v>
      </c>
      <c r="J1453" s="7"/>
    </row>
    <row r="1454" spans="6:10">
      <c r="F1454" s="7">
        <v>0</v>
      </c>
      <c r="J1454" s="7"/>
    </row>
    <row r="1455" spans="6:10">
      <c r="F1455" s="7">
        <v>0</v>
      </c>
      <c r="J1455" s="7"/>
    </row>
    <row r="1456" spans="6:10">
      <c r="F1456" s="7">
        <v>0</v>
      </c>
      <c r="J1456" s="7"/>
    </row>
    <row r="1457" spans="6:10">
      <c r="F1457" s="7">
        <v>0</v>
      </c>
      <c r="J1457" s="7"/>
    </row>
    <row r="1458" spans="6:10">
      <c r="F1458" s="7">
        <v>0</v>
      </c>
      <c r="J1458" s="7"/>
    </row>
    <row r="1459" spans="6:10">
      <c r="F1459" s="7">
        <v>0</v>
      </c>
      <c r="J1459" s="7"/>
    </row>
    <row r="1460" spans="6:10">
      <c r="F1460" s="7">
        <v>0</v>
      </c>
      <c r="J1460" s="7"/>
    </row>
    <row r="1461" spans="6:10">
      <c r="F1461" s="7">
        <v>0</v>
      </c>
      <c r="J1461" s="7"/>
    </row>
    <row r="1462" spans="6:10">
      <c r="F1462" s="7">
        <v>0</v>
      </c>
      <c r="J1462" s="7"/>
    </row>
    <row r="1463" spans="6:10">
      <c r="F1463" s="7">
        <v>0</v>
      </c>
      <c r="J1463" s="7"/>
    </row>
    <row r="1464" spans="6:10">
      <c r="F1464" s="7">
        <v>0</v>
      </c>
      <c r="J1464" s="7"/>
    </row>
    <row r="1465" spans="6:10">
      <c r="F1465" s="7">
        <v>0</v>
      </c>
      <c r="J1465" s="7"/>
    </row>
    <row r="1466" spans="6:10">
      <c r="F1466" s="7">
        <v>0</v>
      </c>
      <c r="J1466" s="7"/>
    </row>
    <row r="1467" spans="6:10">
      <c r="F1467" s="7">
        <v>0</v>
      </c>
      <c r="J1467" s="7"/>
    </row>
    <row r="1468" spans="6:10">
      <c r="F1468" s="7">
        <v>0</v>
      </c>
      <c r="J1468" s="7"/>
    </row>
    <row r="1469" spans="6:10">
      <c r="F1469" s="7">
        <v>0</v>
      </c>
      <c r="J1469" s="7"/>
    </row>
    <row r="1470" spans="6:10">
      <c r="F1470" s="7">
        <v>0</v>
      </c>
      <c r="J1470" s="7"/>
    </row>
    <row r="1471" spans="6:10">
      <c r="F1471" s="7">
        <v>0</v>
      </c>
      <c r="J1471" s="7"/>
    </row>
    <row r="1472" spans="6:10">
      <c r="F1472" s="7">
        <v>0</v>
      </c>
      <c r="J1472" s="7"/>
    </row>
    <row r="1473" spans="6:10">
      <c r="F1473" s="7">
        <v>0</v>
      </c>
      <c r="J1473" s="7"/>
    </row>
    <row r="1474" spans="6:10">
      <c r="F1474" s="7">
        <v>0</v>
      </c>
      <c r="J1474" s="7"/>
    </row>
    <row r="1475" spans="6:10">
      <c r="F1475" s="7">
        <v>0</v>
      </c>
      <c r="J1475" s="7"/>
    </row>
    <row r="1476" spans="6:10">
      <c r="F1476" s="7">
        <v>0</v>
      </c>
      <c r="J1476" s="7"/>
    </row>
    <row r="1477" spans="6:10">
      <c r="F1477" s="7">
        <v>0</v>
      </c>
      <c r="J1477" s="7"/>
    </row>
    <row r="1478" spans="6:10">
      <c r="F1478" s="7">
        <v>0</v>
      </c>
      <c r="J1478" s="7"/>
    </row>
    <row r="1479" spans="6:10">
      <c r="F1479" s="7">
        <v>0</v>
      </c>
      <c r="J1479" s="7"/>
    </row>
    <row r="1480" spans="6:10">
      <c r="F1480" s="7">
        <v>0</v>
      </c>
      <c r="J1480" s="7"/>
    </row>
    <row r="1481" spans="6:10">
      <c r="F1481" s="7">
        <v>0</v>
      </c>
      <c r="J1481" s="7"/>
    </row>
    <row r="1482" spans="6:10">
      <c r="F1482" s="7">
        <v>0</v>
      </c>
      <c r="J1482" s="7"/>
    </row>
    <row r="1483" spans="6:10">
      <c r="F1483" s="7">
        <v>0</v>
      </c>
      <c r="J1483" s="7"/>
    </row>
    <row r="1484" spans="6:10">
      <c r="F1484" s="7">
        <v>0</v>
      </c>
      <c r="J1484" s="7"/>
    </row>
    <row r="1485" spans="6:10">
      <c r="F1485" s="7">
        <v>0</v>
      </c>
      <c r="J1485" s="7"/>
    </row>
    <row r="1486" spans="6:10">
      <c r="F1486" s="7">
        <v>0</v>
      </c>
      <c r="J1486" s="7"/>
    </row>
    <row r="1487" spans="6:10">
      <c r="F1487" s="7">
        <v>0</v>
      </c>
      <c r="J1487" s="7"/>
    </row>
    <row r="1488" spans="6:10">
      <c r="F1488" s="7">
        <v>0</v>
      </c>
      <c r="J1488" s="7"/>
    </row>
    <row r="1489" spans="6:10">
      <c r="F1489" s="7">
        <v>0</v>
      </c>
      <c r="J1489" s="7"/>
    </row>
    <row r="1490" spans="6:10">
      <c r="F1490" s="7">
        <v>0</v>
      </c>
      <c r="J1490" s="7"/>
    </row>
    <row r="1491" spans="6:10">
      <c r="F1491" s="7">
        <v>0</v>
      </c>
      <c r="J1491" s="7"/>
    </row>
    <row r="1492" spans="6:10">
      <c r="F1492" s="7">
        <v>0</v>
      </c>
      <c r="J1492" s="7"/>
    </row>
    <row r="1493" spans="6:10">
      <c r="F1493" s="7">
        <v>0</v>
      </c>
      <c r="J1493" s="7"/>
    </row>
    <row r="1494" spans="6:10">
      <c r="F1494" s="7">
        <v>0</v>
      </c>
      <c r="J1494" s="7"/>
    </row>
    <row r="1495" spans="6:10">
      <c r="F1495" s="7">
        <v>0</v>
      </c>
      <c r="J1495" s="7"/>
    </row>
    <row r="1496" spans="6:10">
      <c r="F1496" s="7">
        <v>0</v>
      </c>
      <c r="J1496" s="7"/>
    </row>
    <row r="1497" spans="6:10">
      <c r="F1497" s="7">
        <v>0</v>
      </c>
      <c r="J1497" s="7"/>
    </row>
    <row r="1498" spans="6:10">
      <c r="F1498" s="7">
        <v>0</v>
      </c>
      <c r="J1498" s="7"/>
    </row>
    <row r="1499" spans="6:10">
      <c r="F1499" s="7">
        <v>0</v>
      </c>
      <c r="J1499" s="7"/>
    </row>
    <row r="1500" spans="6:10">
      <c r="F1500" s="7">
        <v>0</v>
      </c>
      <c r="J1500" s="7"/>
    </row>
    <row r="1501" spans="6:10">
      <c r="F1501" s="7">
        <v>0</v>
      </c>
      <c r="J1501" s="7"/>
    </row>
    <row r="1502" spans="6:10">
      <c r="F1502" s="7">
        <v>0</v>
      </c>
      <c r="J1502" s="7"/>
    </row>
    <row r="1503" spans="6:10">
      <c r="F1503" s="7">
        <v>0</v>
      </c>
      <c r="J1503" s="7"/>
    </row>
    <row r="1504" spans="6:10">
      <c r="F1504" s="7">
        <v>0</v>
      </c>
      <c r="J1504" s="7"/>
    </row>
    <row r="1505" spans="6:10">
      <c r="F1505" s="7">
        <v>0</v>
      </c>
      <c r="J1505" s="7"/>
    </row>
    <row r="1506" spans="6:10">
      <c r="F1506" s="7">
        <v>0</v>
      </c>
      <c r="J1506" s="7"/>
    </row>
    <row r="1507" spans="6:10">
      <c r="F1507" s="7">
        <v>0</v>
      </c>
      <c r="J1507" s="7"/>
    </row>
    <row r="1508" spans="6:10">
      <c r="F1508" s="7">
        <v>0</v>
      </c>
      <c r="J1508" s="7"/>
    </row>
    <row r="1509" spans="6:10">
      <c r="F1509" s="7">
        <v>0</v>
      </c>
      <c r="J1509" s="7"/>
    </row>
    <row r="1510" spans="6:10">
      <c r="F1510" s="7">
        <v>0</v>
      </c>
      <c r="J1510" s="7"/>
    </row>
    <row r="1511" spans="6:10">
      <c r="F1511" s="7">
        <v>0</v>
      </c>
      <c r="J1511" s="7"/>
    </row>
    <row r="1512" spans="6:10">
      <c r="F1512" s="7">
        <v>0</v>
      </c>
      <c r="J1512" s="7"/>
    </row>
    <row r="1513" spans="6:10">
      <c r="F1513" s="7">
        <v>0</v>
      </c>
      <c r="J1513" s="7"/>
    </row>
    <row r="1514" spans="6:10">
      <c r="F1514" s="7">
        <v>0</v>
      </c>
      <c r="J1514" s="7"/>
    </row>
    <row r="1515" spans="6:10">
      <c r="F1515" s="7">
        <v>0</v>
      </c>
      <c r="J1515" s="7"/>
    </row>
    <row r="1516" spans="6:10">
      <c r="F1516" s="7">
        <v>0</v>
      </c>
      <c r="J1516" s="7"/>
    </row>
    <row r="1517" spans="6:10">
      <c r="F1517" s="7">
        <v>0</v>
      </c>
      <c r="J1517" s="7"/>
    </row>
    <row r="1518" spans="6:10">
      <c r="F1518" s="7">
        <v>0</v>
      </c>
      <c r="J1518" s="7"/>
    </row>
    <row r="1519" spans="6:10">
      <c r="F1519" s="7">
        <v>0</v>
      </c>
      <c r="J1519" s="7"/>
    </row>
    <row r="1520" spans="6:10">
      <c r="F1520" s="7">
        <v>0</v>
      </c>
      <c r="J1520" s="7"/>
    </row>
    <row r="1521" spans="6:10">
      <c r="F1521" s="7">
        <v>0</v>
      </c>
      <c r="J1521" s="7"/>
    </row>
    <row r="1522" spans="6:10">
      <c r="F1522" s="7">
        <v>0</v>
      </c>
      <c r="J1522" s="7"/>
    </row>
    <row r="1523" spans="6:10">
      <c r="F1523" s="7">
        <v>0</v>
      </c>
      <c r="J1523" s="7"/>
    </row>
    <row r="1524" spans="6:10">
      <c r="F1524" s="7">
        <v>0</v>
      </c>
      <c r="J1524" s="7"/>
    </row>
    <row r="1525" spans="6:10">
      <c r="F1525" s="7">
        <v>0</v>
      </c>
      <c r="J1525" s="7"/>
    </row>
    <row r="1526" spans="6:10">
      <c r="F1526" s="7">
        <v>0</v>
      </c>
      <c r="J1526" s="7"/>
    </row>
    <row r="1527" spans="6:10">
      <c r="F1527" s="7">
        <v>0</v>
      </c>
      <c r="J1527" s="7"/>
    </row>
    <row r="1528" spans="6:10">
      <c r="F1528" s="7">
        <v>0</v>
      </c>
      <c r="J1528" s="7"/>
    </row>
    <row r="1529" spans="6:10">
      <c r="F1529" s="7">
        <v>0</v>
      </c>
      <c r="J1529" s="7"/>
    </row>
    <row r="1530" spans="6:10">
      <c r="F1530" s="7">
        <v>0</v>
      </c>
      <c r="J1530" s="7"/>
    </row>
    <row r="1531" spans="6:10">
      <c r="F1531" s="7">
        <v>0</v>
      </c>
      <c r="J1531" s="7"/>
    </row>
    <row r="1532" spans="6:10">
      <c r="F1532" s="7">
        <v>0</v>
      </c>
      <c r="J1532" s="7"/>
    </row>
    <row r="1533" spans="6:10">
      <c r="F1533" s="7">
        <v>0</v>
      </c>
      <c r="J1533" s="7"/>
    </row>
    <row r="1534" spans="6:10">
      <c r="F1534" s="7">
        <v>0</v>
      </c>
      <c r="J1534" s="7"/>
    </row>
    <row r="1535" spans="6:10">
      <c r="F1535" s="7">
        <v>0</v>
      </c>
      <c r="J1535" s="7"/>
    </row>
    <row r="1536" spans="6:10">
      <c r="F1536" s="7">
        <v>0</v>
      </c>
      <c r="J1536" s="7"/>
    </row>
    <row r="1537" spans="6:10">
      <c r="F1537" s="7">
        <v>0</v>
      </c>
      <c r="J1537" s="7"/>
    </row>
    <row r="1538" spans="6:10">
      <c r="F1538" s="7">
        <v>0</v>
      </c>
      <c r="J1538" s="7"/>
    </row>
    <row r="1539" spans="6:10">
      <c r="F1539" s="7">
        <v>0</v>
      </c>
      <c r="J1539" s="7"/>
    </row>
    <row r="1540" spans="6:10">
      <c r="F1540" s="7">
        <v>0</v>
      </c>
      <c r="J1540" s="7"/>
    </row>
    <row r="1541" spans="6:10">
      <c r="F1541" s="7">
        <v>0</v>
      </c>
      <c r="J1541" s="7"/>
    </row>
    <row r="1542" spans="6:10">
      <c r="F1542" s="7">
        <v>0</v>
      </c>
      <c r="J1542" s="7"/>
    </row>
    <row r="1543" spans="6:10">
      <c r="F1543" s="7">
        <v>0</v>
      </c>
      <c r="J1543" s="7"/>
    </row>
    <row r="1544" spans="6:10">
      <c r="F1544" s="7">
        <v>0</v>
      </c>
      <c r="J1544" s="7"/>
    </row>
    <row r="1545" spans="6:10">
      <c r="F1545" s="7">
        <v>0</v>
      </c>
      <c r="J1545" s="7"/>
    </row>
    <row r="1546" spans="6:10">
      <c r="F1546" s="7">
        <v>0</v>
      </c>
      <c r="J1546" s="7"/>
    </row>
    <row r="1547" spans="6:10">
      <c r="F1547" s="7">
        <v>0</v>
      </c>
      <c r="J1547" s="7"/>
    </row>
    <row r="1548" spans="6:10">
      <c r="F1548" s="7">
        <v>0</v>
      </c>
      <c r="J1548" s="7"/>
    </row>
    <row r="1549" spans="6:10">
      <c r="F1549" s="7">
        <v>0</v>
      </c>
      <c r="J1549" s="7"/>
    </row>
    <row r="1550" spans="6:10">
      <c r="F1550" s="7">
        <v>0</v>
      </c>
      <c r="J1550" s="7"/>
    </row>
    <row r="1551" spans="6:10">
      <c r="F1551" s="7">
        <v>0</v>
      </c>
      <c r="J1551" s="7"/>
    </row>
    <row r="1552" spans="6:10">
      <c r="F1552" s="7">
        <v>0</v>
      </c>
      <c r="J1552" s="7"/>
    </row>
    <row r="1553" spans="6:10">
      <c r="F1553" s="7">
        <v>0</v>
      </c>
      <c r="J1553" s="7"/>
    </row>
    <row r="1554" spans="6:10">
      <c r="F1554" s="7">
        <v>0</v>
      </c>
      <c r="J1554" s="7"/>
    </row>
    <row r="1555" spans="6:10">
      <c r="F1555" s="7">
        <v>0</v>
      </c>
      <c r="J1555" s="7"/>
    </row>
    <row r="1556" spans="6:10">
      <c r="F1556" s="7">
        <v>0</v>
      </c>
      <c r="J1556" s="7"/>
    </row>
    <row r="1557" spans="6:10">
      <c r="F1557" s="7">
        <v>0</v>
      </c>
      <c r="J1557" s="7"/>
    </row>
    <row r="1558" spans="6:10">
      <c r="F1558" s="7">
        <v>0</v>
      </c>
      <c r="J1558" s="7"/>
    </row>
    <row r="1559" spans="6:10">
      <c r="F1559" s="7">
        <v>0</v>
      </c>
      <c r="J1559" s="7"/>
    </row>
    <row r="1560" spans="6:10">
      <c r="F1560" s="7">
        <v>0</v>
      </c>
      <c r="J1560" s="7"/>
    </row>
    <row r="1561" spans="6:10">
      <c r="F1561" s="7">
        <v>0</v>
      </c>
      <c r="J1561" s="7"/>
    </row>
    <row r="1562" spans="6:10">
      <c r="F1562" s="7">
        <v>0</v>
      </c>
      <c r="J1562" s="7"/>
    </row>
    <row r="1563" spans="6:10">
      <c r="F1563" s="7">
        <v>0</v>
      </c>
      <c r="J1563" s="7"/>
    </row>
    <row r="1564" spans="6:10">
      <c r="F1564" s="7">
        <v>0</v>
      </c>
      <c r="J1564" s="7"/>
    </row>
    <row r="1565" spans="6:10">
      <c r="F1565" s="7">
        <v>0</v>
      </c>
      <c r="J1565" s="7"/>
    </row>
    <row r="1566" spans="6:10">
      <c r="F1566" s="7">
        <v>0</v>
      </c>
      <c r="J1566" s="7"/>
    </row>
    <row r="1567" spans="6:10">
      <c r="F1567" s="7">
        <v>0</v>
      </c>
      <c r="J1567" s="7"/>
    </row>
    <row r="1568" spans="6:10">
      <c r="F1568" s="7">
        <v>0</v>
      </c>
      <c r="J1568" s="7"/>
    </row>
    <row r="1569" spans="6:10">
      <c r="F1569" s="7">
        <v>0</v>
      </c>
      <c r="J1569" s="7"/>
    </row>
    <row r="1570" spans="6:10">
      <c r="F1570" s="7">
        <v>0</v>
      </c>
      <c r="J1570" s="7"/>
    </row>
    <row r="1571" spans="6:10">
      <c r="F1571" s="7">
        <v>0</v>
      </c>
      <c r="J1571" s="7"/>
    </row>
    <row r="1572" spans="6:10">
      <c r="F1572" s="7">
        <v>0</v>
      </c>
      <c r="J1572" s="7"/>
    </row>
    <row r="1573" spans="6:10">
      <c r="F1573" s="7">
        <v>0</v>
      </c>
      <c r="J1573" s="7"/>
    </row>
    <row r="1574" spans="6:10">
      <c r="F1574" s="7">
        <v>0</v>
      </c>
      <c r="J1574" s="7"/>
    </row>
    <row r="1575" spans="6:10">
      <c r="F1575" s="7">
        <v>0</v>
      </c>
      <c r="J1575" s="7"/>
    </row>
    <row r="1576" spans="6:10">
      <c r="F1576" s="7">
        <v>0</v>
      </c>
      <c r="J1576" s="7"/>
    </row>
    <row r="1577" spans="6:10">
      <c r="F1577" s="7">
        <v>0</v>
      </c>
      <c r="J1577" s="7"/>
    </row>
    <row r="1578" spans="6:10">
      <c r="F1578" s="7">
        <v>0</v>
      </c>
      <c r="J1578" s="7"/>
    </row>
    <row r="1579" spans="6:10">
      <c r="F1579" s="7">
        <v>0</v>
      </c>
      <c r="J1579" s="7"/>
    </row>
    <row r="1580" spans="6:10">
      <c r="F1580" s="7">
        <v>0</v>
      </c>
      <c r="J1580" s="7"/>
    </row>
    <row r="1581" spans="6:10">
      <c r="F1581" s="7">
        <v>0</v>
      </c>
      <c r="J1581" s="7"/>
    </row>
    <row r="1582" spans="6:10">
      <c r="F1582" s="7">
        <v>0</v>
      </c>
      <c r="J1582" s="7"/>
    </row>
    <row r="1583" spans="6:10">
      <c r="F1583" s="7">
        <v>0</v>
      </c>
      <c r="J1583" s="7"/>
    </row>
    <row r="1584" spans="6:10">
      <c r="F1584" s="7">
        <v>0</v>
      </c>
      <c r="J1584" s="7"/>
    </row>
    <row r="1585" spans="6:10">
      <c r="F1585" s="7">
        <v>0</v>
      </c>
      <c r="J1585" s="7"/>
    </row>
    <row r="1586" spans="6:10">
      <c r="F1586" s="7">
        <v>0</v>
      </c>
      <c r="J1586" s="7"/>
    </row>
    <row r="1587" spans="6:10">
      <c r="F1587" s="7">
        <v>0</v>
      </c>
      <c r="J1587" s="7"/>
    </row>
    <row r="1588" spans="6:10">
      <c r="F1588" s="7">
        <v>0</v>
      </c>
      <c r="J1588" s="7"/>
    </row>
    <row r="1589" spans="6:10">
      <c r="F1589" s="7">
        <v>0</v>
      </c>
      <c r="J1589" s="7"/>
    </row>
    <row r="1590" spans="6:10">
      <c r="F1590" s="7">
        <v>0</v>
      </c>
      <c r="J1590" s="7"/>
    </row>
    <row r="1591" spans="6:10">
      <c r="F1591" s="7">
        <v>0</v>
      </c>
      <c r="J1591" s="7"/>
    </row>
    <row r="1592" spans="6:10">
      <c r="F1592" s="7">
        <v>0</v>
      </c>
      <c r="J1592" s="7"/>
    </row>
    <row r="1593" spans="6:10">
      <c r="F1593" s="7">
        <v>0</v>
      </c>
      <c r="J1593" s="7"/>
    </row>
    <row r="1594" spans="6:10">
      <c r="F1594" s="7">
        <v>0</v>
      </c>
      <c r="J1594" s="7"/>
    </row>
    <row r="1595" spans="6:10">
      <c r="F1595" s="7">
        <v>0</v>
      </c>
      <c r="J1595" s="7"/>
    </row>
    <row r="1596" spans="6:10">
      <c r="F1596" s="7">
        <v>0</v>
      </c>
      <c r="J1596" s="7"/>
    </row>
    <row r="1597" spans="6:10">
      <c r="F1597" s="7">
        <v>0</v>
      </c>
      <c r="J1597" s="7"/>
    </row>
    <row r="1598" spans="6:10">
      <c r="F1598" s="7">
        <v>0</v>
      </c>
      <c r="J1598" s="7"/>
    </row>
    <row r="1599" spans="6:10">
      <c r="F1599" s="7">
        <v>0</v>
      </c>
      <c r="J1599" s="7"/>
    </row>
    <row r="1600" spans="6:10">
      <c r="F1600" s="7">
        <v>0</v>
      </c>
      <c r="J1600" s="7"/>
    </row>
    <row r="1601" spans="6:10">
      <c r="F1601" s="7">
        <v>0</v>
      </c>
      <c r="J1601" s="7"/>
    </row>
    <row r="1602" spans="6:10">
      <c r="F1602" s="7">
        <v>0</v>
      </c>
      <c r="J1602" s="7"/>
    </row>
    <row r="1603" spans="6:10">
      <c r="F1603" s="7">
        <v>0</v>
      </c>
      <c r="J1603" s="7"/>
    </row>
    <row r="1604" spans="6:10">
      <c r="F1604" s="7">
        <v>0</v>
      </c>
      <c r="J1604" s="7"/>
    </row>
    <row r="1605" spans="6:10">
      <c r="F1605" s="7">
        <v>0</v>
      </c>
      <c r="J1605" s="7"/>
    </row>
    <row r="1606" spans="6:10">
      <c r="F1606" s="7">
        <v>0</v>
      </c>
      <c r="J1606" s="7"/>
    </row>
    <row r="1607" spans="6:10">
      <c r="F1607" s="7">
        <v>0</v>
      </c>
      <c r="J1607" s="7"/>
    </row>
    <row r="1608" spans="6:10">
      <c r="F1608" s="7">
        <v>0</v>
      </c>
      <c r="J1608" s="7"/>
    </row>
    <row r="1609" spans="6:10">
      <c r="F1609" s="7">
        <v>0</v>
      </c>
      <c r="J1609" s="7"/>
    </row>
    <row r="1610" spans="6:10">
      <c r="F1610" s="7">
        <v>0</v>
      </c>
      <c r="J1610" s="7"/>
    </row>
    <row r="1611" spans="6:10">
      <c r="F1611" s="7">
        <v>0</v>
      </c>
      <c r="J1611" s="7"/>
    </row>
    <row r="1612" spans="6:10">
      <c r="F1612" s="7">
        <v>0</v>
      </c>
      <c r="J1612" s="7"/>
    </row>
    <row r="1613" spans="6:10">
      <c r="F1613" s="7">
        <v>0</v>
      </c>
      <c r="J1613" s="7"/>
    </row>
    <row r="1614" spans="6:10">
      <c r="F1614" s="7">
        <v>0</v>
      </c>
      <c r="J1614" s="7"/>
    </row>
    <row r="1615" spans="6:10">
      <c r="F1615" s="7">
        <v>0</v>
      </c>
      <c r="J1615" s="7"/>
    </row>
    <row r="1616" spans="6:10">
      <c r="F1616" s="7">
        <v>0</v>
      </c>
      <c r="J1616" s="7"/>
    </row>
    <row r="1617" spans="6:10">
      <c r="F1617" s="7">
        <v>0</v>
      </c>
      <c r="J1617" s="7"/>
    </row>
    <row r="1618" spans="6:10">
      <c r="F1618" s="7">
        <v>0</v>
      </c>
      <c r="J1618" s="7"/>
    </row>
    <row r="1619" spans="6:10">
      <c r="F1619" s="7">
        <v>0</v>
      </c>
      <c r="J1619" s="7"/>
    </row>
    <row r="1620" spans="6:10">
      <c r="F1620" s="7">
        <v>0</v>
      </c>
      <c r="J1620" s="7"/>
    </row>
    <row r="1621" spans="6:10">
      <c r="F1621" s="7">
        <v>0</v>
      </c>
      <c r="J1621" s="7"/>
    </row>
    <row r="1622" spans="6:10">
      <c r="F1622" s="7">
        <v>0</v>
      </c>
      <c r="J1622" s="7"/>
    </row>
    <row r="1623" spans="6:10">
      <c r="F1623" s="7">
        <v>0</v>
      </c>
      <c r="J1623" s="7"/>
    </row>
    <row r="1624" spans="6:10">
      <c r="F1624" s="7">
        <v>0</v>
      </c>
      <c r="J1624" s="7"/>
    </row>
    <row r="1625" spans="6:10">
      <c r="F1625" s="7">
        <v>0</v>
      </c>
      <c r="J1625" s="7"/>
    </row>
    <row r="1626" spans="6:10">
      <c r="F1626" s="7">
        <v>0</v>
      </c>
      <c r="J1626" s="7"/>
    </row>
    <row r="1627" spans="6:10">
      <c r="F1627" s="7">
        <v>0</v>
      </c>
      <c r="J1627" s="7"/>
    </row>
    <row r="1628" spans="6:10">
      <c r="F1628" s="7">
        <v>0</v>
      </c>
      <c r="J1628" s="7"/>
    </row>
    <row r="1629" spans="6:10">
      <c r="F1629" s="7">
        <v>0</v>
      </c>
      <c r="J1629" s="7"/>
    </row>
    <row r="1630" spans="6:10">
      <c r="F1630" s="7">
        <v>0</v>
      </c>
      <c r="J1630" s="7"/>
    </row>
    <row r="1631" spans="6:10">
      <c r="F1631" s="7">
        <v>0</v>
      </c>
      <c r="J1631" s="7"/>
    </row>
    <row r="1632" spans="6:10">
      <c r="F1632" s="7">
        <v>0</v>
      </c>
      <c r="J1632" s="7"/>
    </row>
    <row r="1633" spans="6:10">
      <c r="F1633" s="7">
        <v>0</v>
      </c>
      <c r="J1633" s="7"/>
    </row>
    <row r="1634" spans="6:10">
      <c r="F1634" s="7">
        <v>0</v>
      </c>
      <c r="J1634" s="7"/>
    </row>
    <row r="1635" spans="6:10">
      <c r="F1635" s="7">
        <v>0</v>
      </c>
      <c r="J1635" s="7"/>
    </row>
    <row r="1636" spans="6:10">
      <c r="F1636" s="7">
        <v>0</v>
      </c>
      <c r="J1636" s="7"/>
    </row>
    <row r="1637" spans="6:10">
      <c r="F1637" s="7">
        <v>0</v>
      </c>
      <c r="J1637" s="7"/>
    </row>
    <row r="1638" spans="6:10">
      <c r="F1638" s="7">
        <v>0</v>
      </c>
      <c r="J1638" s="7"/>
    </row>
    <row r="1639" spans="6:10">
      <c r="F1639" s="7">
        <v>0</v>
      </c>
      <c r="J1639" s="7"/>
    </row>
    <row r="1640" spans="6:10">
      <c r="F1640" s="7">
        <v>0</v>
      </c>
      <c r="J1640" s="7"/>
    </row>
    <row r="1641" spans="6:10">
      <c r="F1641" s="7">
        <v>0</v>
      </c>
      <c r="J1641" s="7"/>
    </row>
    <row r="1642" spans="6:10">
      <c r="F1642" s="7">
        <v>0</v>
      </c>
      <c r="J1642" s="7"/>
    </row>
    <row r="1643" spans="6:10">
      <c r="F1643" s="7">
        <v>0</v>
      </c>
      <c r="J1643" s="7"/>
    </row>
    <row r="1644" spans="6:10">
      <c r="F1644" s="7">
        <v>0</v>
      </c>
      <c r="J1644" s="7"/>
    </row>
    <row r="1645" spans="6:10">
      <c r="F1645" s="7">
        <v>0</v>
      </c>
      <c r="J1645" s="7"/>
    </row>
    <row r="1646" spans="6:10">
      <c r="F1646" s="7">
        <v>0</v>
      </c>
      <c r="J1646" s="7"/>
    </row>
    <row r="1647" spans="6:10">
      <c r="F1647" s="7">
        <v>0</v>
      </c>
      <c r="J1647" s="7"/>
    </row>
    <row r="1648" spans="6:10">
      <c r="F1648" s="7">
        <v>0</v>
      </c>
      <c r="J1648" s="7"/>
    </row>
    <row r="1649" spans="6:10">
      <c r="F1649" s="7">
        <v>0</v>
      </c>
      <c r="J1649" s="7"/>
    </row>
    <row r="1650" spans="6:10">
      <c r="F1650" s="7">
        <v>0</v>
      </c>
      <c r="J1650" s="7"/>
    </row>
    <row r="1651" spans="6:10">
      <c r="F1651" s="7">
        <v>0</v>
      </c>
      <c r="J1651" s="7"/>
    </row>
    <row r="1652" spans="6:10">
      <c r="F1652" s="7">
        <v>0</v>
      </c>
      <c r="J1652" s="7"/>
    </row>
    <row r="1653" spans="6:10">
      <c r="F1653" s="7">
        <v>0</v>
      </c>
      <c r="J1653" s="7"/>
    </row>
    <row r="1654" spans="6:10">
      <c r="F1654" s="7">
        <v>0</v>
      </c>
      <c r="J1654" s="7"/>
    </row>
    <row r="1655" spans="6:10">
      <c r="F1655" s="7">
        <v>0</v>
      </c>
      <c r="J1655" s="7"/>
    </row>
    <row r="1656" spans="6:10">
      <c r="F1656" s="7">
        <v>0</v>
      </c>
      <c r="J1656" s="7"/>
    </row>
    <row r="1657" spans="6:10">
      <c r="F1657" s="7">
        <v>0</v>
      </c>
      <c r="J1657" s="7"/>
    </row>
    <row r="1658" spans="6:10">
      <c r="F1658" s="7">
        <v>0</v>
      </c>
      <c r="J1658" s="7"/>
    </row>
    <row r="1659" spans="6:10">
      <c r="F1659" s="7">
        <v>0</v>
      </c>
      <c r="J1659" s="7"/>
    </row>
    <row r="1660" spans="6:10">
      <c r="F1660" s="7">
        <v>0</v>
      </c>
      <c r="J1660" s="7"/>
    </row>
    <row r="1661" spans="6:10">
      <c r="F1661" s="7">
        <v>0</v>
      </c>
      <c r="J1661" s="7"/>
    </row>
    <row r="1662" spans="6:10">
      <c r="F1662" s="7">
        <v>0</v>
      </c>
      <c r="J1662" s="7"/>
    </row>
    <row r="1663" spans="6:10">
      <c r="F1663" s="7">
        <v>0</v>
      </c>
      <c r="J1663" s="7"/>
    </row>
    <row r="1664" spans="6:10">
      <c r="F1664" s="7">
        <v>0</v>
      </c>
      <c r="J1664" s="7"/>
    </row>
    <row r="1665" spans="6:10">
      <c r="F1665" s="7">
        <v>0</v>
      </c>
      <c r="J1665" s="7"/>
    </row>
    <row r="1666" spans="6:10">
      <c r="F1666" s="7">
        <v>0</v>
      </c>
      <c r="J1666" s="7"/>
    </row>
    <row r="1667" spans="6:10">
      <c r="F1667" s="7">
        <v>0</v>
      </c>
      <c r="J1667" s="7"/>
    </row>
    <row r="1668" spans="6:10">
      <c r="F1668" s="7">
        <v>0</v>
      </c>
      <c r="J1668" s="7"/>
    </row>
    <row r="1669" spans="6:10">
      <c r="F1669" s="7">
        <v>0</v>
      </c>
      <c r="J1669" s="7"/>
    </row>
    <row r="1670" spans="6:10">
      <c r="F1670" s="7">
        <v>0</v>
      </c>
      <c r="J1670" s="7"/>
    </row>
    <row r="1671" spans="6:10">
      <c r="F1671" s="7">
        <v>0</v>
      </c>
      <c r="J1671" s="7"/>
    </row>
    <row r="1672" spans="6:10">
      <c r="F1672" s="7">
        <v>0</v>
      </c>
      <c r="J1672" s="7"/>
    </row>
    <row r="1673" spans="6:10">
      <c r="F1673" s="7">
        <v>0</v>
      </c>
      <c r="J1673" s="7"/>
    </row>
    <row r="1674" spans="6:10">
      <c r="F1674" s="7">
        <v>0</v>
      </c>
      <c r="J1674" s="7"/>
    </row>
    <row r="1675" spans="6:10">
      <c r="F1675" s="7">
        <v>0</v>
      </c>
      <c r="J1675" s="7"/>
    </row>
    <row r="1676" spans="6:10">
      <c r="F1676" s="7">
        <v>0</v>
      </c>
      <c r="J1676" s="7"/>
    </row>
    <row r="1677" spans="6:10">
      <c r="F1677" s="7">
        <v>0</v>
      </c>
      <c r="J1677" s="7"/>
    </row>
    <row r="1678" spans="6:10">
      <c r="F1678" s="7">
        <v>0</v>
      </c>
      <c r="J1678" s="7"/>
    </row>
    <row r="1679" spans="6:10">
      <c r="F1679" s="7">
        <v>0</v>
      </c>
      <c r="J1679" s="7"/>
    </row>
    <row r="1680" spans="6:10">
      <c r="F1680" s="7">
        <v>0</v>
      </c>
      <c r="J1680" s="7"/>
    </row>
    <row r="1681" spans="6:10">
      <c r="F1681" s="7">
        <v>0</v>
      </c>
      <c r="J1681" s="7"/>
    </row>
    <row r="1682" spans="6:10">
      <c r="F1682" s="7">
        <v>0</v>
      </c>
      <c r="J1682" s="7"/>
    </row>
    <row r="1683" spans="6:10">
      <c r="F1683" s="7">
        <v>0</v>
      </c>
      <c r="J1683" s="7"/>
    </row>
    <row r="1684" spans="6:10">
      <c r="F1684" s="7">
        <v>0</v>
      </c>
      <c r="J1684" s="7"/>
    </row>
    <row r="1685" spans="6:10">
      <c r="F1685" s="7">
        <v>0</v>
      </c>
      <c r="J1685" s="7"/>
    </row>
    <row r="1686" spans="6:10">
      <c r="F1686" s="7">
        <v>0</v>
      </c>
      <c r="J1686" s="7"/>
    </row>
    <row r="1687" spans="6:10">
      <c r="F1687" s="7">
        <v>0</v>
      </c>
      <c r="J1687" s="7"/>
    </row>
    <row r="1688" spans="6:10">
      <c r="F1688" s="7">
        <v>0</v>
      </c>
      <c r="J1688" s="7"/>
    </row>
    <row r="1689" spans="6:10">
      <c r="F1689" s="7">
        <v>0</v>
      </c>
      <c r="J1689" s="7"/>
    </row>
    <row r="1690" spans="6:10">
      <c r="F1690" s="7">
        <v>0</v>
      </c>
      <c r="J1690" s="7"/>
    </row>
    <row r="1691" spans="6:10">
      <c r="F1691" s="7">
        <v>0</v>
      </c>
      <c r="J1691" s="7"/>
    </row>
    <row r="1692" spans="6:10">
      <c r="F1692" s="7">
        <v>0</v>
      </c>
      <c r="J1692" s="7"/>
    </row>
    <row r="1693" spans="6:10">
      <c r="F1693" s="7">
        <v>0</v>
      </c>
      <c r="J1693" s="7"/>
    </row>
    <row r="1694" spans="6:10">
      <c r="F1694" s="7">
        <v>0</v>
      </c>
      <c r="J1694" s="7"/>
    </row>
    <row r="1695" spans="6:10">
      <c r="F1695" s="7">
        <v>0</v>
      </c>
      <c r="J1695" s="7"/>
    </row>
    <row r="1696" spans="6:10">
      <c r="F1696" s="7">
        <v>0</v>
      </c>
      <c r="J1696" s="7"/>
    </row>
    <row r="1697" spans="6:10">
      <c r="F1697" s="7">
        <v>0</v>
      </c>
      <c r="J1697" s="7"/>
    </row>
    <row r="1698" spans="6:10">
      <c r="F1698" s="7">
        <v>0</v>
      </c>
      <c r="J1698" s="7"/>
    </row>
    <row r="1699" spans="6:10">
      <c r="F1699" s="7">
        <v>0</v>
      </c>
      <c r="J1699" s="7"/>
    </row>
    <row r="1700" spans="6:10">
      <c r="F1700" s="7">
        <v>0</v>
      </c>
      <c r="J1700" s="7"/>
    </row>
    <row r="1701" spans="6:10">
      <c r="F1701" s="7">
        <v>0</v>
      </c>
      <c r="J1701" s="7"/>
    </row>
    <row r="1702" spans="6:10">
      <c r="F1702" s="7">
        <v>0</v>
      </c>
      <c r="J1702" s="7"/>
    </row>
    <row r="1703" spans="6:10">
      <c r="F1703" s="7">
        <v>0</v>
      </c>
      <c r="J1703" s="7"/>
    </row>
    <row r="1704" spans="6:10">
      <c r="F1704" s="7">
        <v>0</v>
      </c>
      <c r="J1704" s="7"/>
    </row>
    <row r="1705" spans="6:10">
      <c r="F1705" s="7">
        <v>0</v>
      </c>
      <c r="J1705" s="7"/>
    </row>
    <row r="1706" spans="6:10">
      <c r="F1706" s="7">
        <v>0</v>
      </c>
      <c r="J1706" s="7"/>
    </row>
    <row r="1707" spans="6:10">
      <c r="F1707" s="7">
        <v>0</v>
      </c>
      <c r="J1707" s="7"/>
    </row>
    <row r="1708" spans="6:10">
      <c r="F1708" s="7">
        <v>0</v>
      </c>
      <c r="J1708" s="7"/>
    </row>
    <row r="1709" spans="6:10">
      <c r="F1709" s="7">
        <v>0</v>
      </c>
      <c r="J1709" s="7"/>
    </row>
    <row r="1710" spans="6:10">
      <c r="F1710" s="7">
        <v>0</v>
      </c>
      <c r="J1710" s="7"/>
    </row>
    <row r="1711" spans="6:10">
      <c r="F1711" s="7">
        <v>0</v>
      </c>
      <c r="J1711" s="7"/>
    </row>
    <row r="1712" spans="6:10">
      <c r="F1712" s="7">
        <v>0</v>
      </c>
      <c r="J1712" s="7"/>
    </row>
    <row r="1713" spans="6:10">
      <c r="F1713" s="7">
        <v>0</v>
      </c>
      <c r="J1713" s="7"/>
    </row>
    <row r="1714" spans="6:10">
      <c r="F1714" s="7">
        <v>0</v>
      </c>
      <c r="J1714" s="7"/>
    </row>
    <row r="1715" spans="6:10">
      <c r="F1715" s="7">
        <v>0</v>
      </c>
      <c r="J1715" s="7"/>
    </row>
    <row r="1716" spans="6:10">
      <c r="F1716" s="7">
        <v>0</v>
      </c>
      <c r="J1716" s="7"/>
    </row>
    <row r="1717" spans="6:10">
      <c r="F1717" s="7">
        <v>0</v>
      </c>
      <c r="J1717" s="7"/>
    </row>
    <row r="1718" spans="6:10">
      <c r="F1718" s="7">
        <v>0</v>
      </c>
      <c r="J1718" s="7"/>
    </row>
    <row r="1719" spans="6:10">
      <c r="F1719" s="7">
        <v>0</v>
      </c>
      <c r="J1719" s="7"/>
    </row>
    <row r="1720" spans="6:10">
      <c r="F1720" s="7">
        <v>0</v>
      </c>
      <c r="J1720" s="7"/>
    </row>
    <row r="1721" spans="6:10">
      <c r="F1721" s="7">
        <v>0</v>
      </c>
      <c r="J1721" s="7"/>
    </row>
    <row r="1722" spans="6:10">
      <c r="F1722" s="7">
        <v>0</v>
      </c>
      <c r="J1722" s="7"/>
    </row>
    <row r="1723" spans="6:10">
      <c r="F1723" s="7">
        <v>0</v>
      </c>
      <c r="J1723" s="7"/>
    </row>
    <row r="1724" spans="6:10">
      <c r="F1724" s="7">
        <v>0</v>
      </c>
      <c r="J1724" s="7"/>
    </row>
    <row r="1725" spans="6:10">
      <c r="F1725" s="7">
        <v>0</v>
      </c>
      <c r="J1725" s="7"/>
    </row>
    <row r="1726" spans="6:10">
      <c r="F1726" s="7">
        <v>0</v>
      </c>
      <c r="J1726" s="7"/>
    </row>
    <row r="1727" spans="6:10">
      <c r="F1727" s="7">
        <v>0</v>
      </c>
      <c r="J1727" s="7"/>
    </row>
    <row r="1728" spans="6:10">
      <c r="F1728" s="7">
        <v>0</v>
      </c>
      <c r="J1728" s="7"/>
    </row>
    <row r="1729" spans="6:10">
      <c r="F1729" s="7">
        <v>0</v>
      </c>
      <c r="J1729" s="7"/>
    </row>
    <row r="1730" spans="6:10">
      <c r="F1730" s="7">
        <v>0</v>
      </c>
      <c r="J1730" s="7"/>
    </row>
    <row r="1731" spans="6:10">
      <c r="F1731" s="7">
        <v>0</v>
      </c>
      <c r="J1731" s="7"/>
    </row>
    <row r="1732" spans="6:10">
      <c r="F1732" s="7">
        <v>0</v>
      </c>
      <c r="J1732" s="7"/>
    </row>
    <row r="1733" spans="6:10">
      <c r="F1733" s="7">
        <v>0</v>
      </c>
      <c r="J1733" s="7"/>
    </row>
    <row r="1734" spans="6:10">
      <c r="F1734" s="7">
        <v>0</v>
      </c>
      <c r="J1734" s="7"/>
    </row>
    <row r="1735" spans="6:10">
      <c r="F1735" s="7">
        <v>0</v>
      </c>
      <c r="J1735" s="7"/>
    </row>
    <row r="1736" spans="6:10">
      <c r="F1736" s="7">
        <v>0</v>
      </c>
      <c r="J1736" s="7"/>
    </row>
    <row r="1737" spans="6:10">
      <c r="F1737" s="7">
        <v>0</v>
      </c>
      <c r="J1737" s="7"/>
    </row>
    <row r="1738" spans="6:10">
      <c r="F1738" s="7">
        <v>0</v>
      </c>
      <c r="J1738" s="7"/>
    </row>
    <row r="1739" spans="6:10">
      <c r="F1739" s="7">
        <v>0</v>
      </c>
      <c r="J1739" s="7"/>
    </row>
    <row r="1740" spans="6:10">
      <c r="F1740" s="7">
        <v>0</v>
      </c>
      <c r="J1740" s="7"/>
    </row>
    <row r="1741" spans="6:10">
      <c r="F1741" s="7">
        <v>0</v>
      </c>
      <c r="J1741" s="7"/>
    </row>
    <row r="1742" spans="6:10">
      <c r="F1742" s="7">
        <v>0</v>
      </c>
      <c r="J1742" s="7"/>
    </row>
    <row r="1743" spans="6:10">
      <c r="F1743" s="7">
        <v>0</v>
      </c>
      <c r="J1743" s="7"/>
    </row>
    <row r="1744" spans="6:10">
      <c r="F1744" s="7">
        <v>0</v>
      </c>
      <c r="J1744" s="7"/>
    </row>
    <row r="1745" spans="6:10">
      <c r="F1745" s="7">
        <v>0</v>
      </c>
      <c r="J1745" s="7"/>
    </row>
    <row r="1746" spans="6:10">
      <c r="F1746" s="7">
        <v>0</v>
      </c>
      <c r="J1746" s="7"/>
    </row>
    <row r="1747" spans="6:10">
      <c r="F1747" s="7">
        <v>0</v>
      </c>
      <c r="J1747" s="7"/>
    </row>
    <row r="1748" spans="6:10">
      <c r="F1748" s="7">
        <v>0</v>
      </c>
      <c r="J1748" s="7"/>
    </row>
    <row r="1749" spans="6:10">
      <c r="F1749" s="7">
        <v>0</v>
      </c>
      <c r="J1749" s="7"/>
    </row>
    <row r="1750" spans="6:10">
      <c r="F1750" s="7">
        <v>0</v>
      </c>
      <c r="J1750" s="7"/>
    </row>
    <row r="1751" spans="6:10">
      <c r="F1751" s="7">
        <v>0</v>
      </c>
      <c r="J1751" s="7"/>
    </row>
    <row r="1752" spans="6:10">
      <c r="F1752" s="7">
        <v>0</v>
      </c>
      <c r="J1752" s="7"/>
    </row>
    <row r="1753" spans="6:10">
      <c r="F1753" s="7">
        <v>0</v>
      </c>
      <c r="J1753" s="7"/>
    </row>
    <row r="1754" spans="6:10">
      <c r="F1754" s="7">
        <v>0</v>
      </c>
      <c r="J1754" s="7"/>
    </row>
    <row r="1755" spans="6:10">
      <c r="F1755" s="7">
        <v>0</v>
      </c>
      <c r="J1755" s="7"/>
    </row>
    <row r="1756" spans="6:10">
      <c r="F1756" s="7">
        <v>0</v>
      </c>
      <c r="J1756" s="7"/>
    </row>
    <row r="1757" spans="6:10">
      <c r="F1757" s="7">
        <v>0</v>
      </c>
      <c r="J1757" s="7"/>
    </row>
    <row r="1758" spans="6:10">
      <c r="F1758" s="7">
        <v>0</v>
      </c>
      <c r="J1758" s="7"/>
    </row>
    <row r="1759" spans="6:10">
      <c r="F1759" s="7">
        <v>0</v>
      </c>
      <c r="J1759" s="7"/>
    </row>
    <row r="1760" spans="6:10">
      <c r="F1760" s="7">
        <v>0</v>
      </c>
      <c r="J1760" s="7"/>
    </row>
    <row r="1761" spans="6:10">
      <c r="F1761" s="7">
        <v>0</v>
      </c>
      <c r="J1761" s="7"/>
    </row>
    <row r="1762" spans="6:10">
      <c r="F1762" s="7">
        <v>0</v>
      </c>
      <c r="J1762" s="7"/>
    </row>
    <row r="1763" spans="6:10">
      <c r="F1763" s="7">
        <v>0</v>
      </c>
      <c r="J1763" s="7"/>
    </row>
    <row r="1764" spans="6:10">
      <c r="F1764" s="7">
        <v>0</v>
      </c>
      <c r="J1764" s="7"/>
    </row>
    <row r="1765" spans="6:10">
      <c r="F1765" s="7">
        <v>0</v>
      </c>
      <c r="J1765" s="7"/>
    </row>
    <row r="1766" spans="6:10">
      <c r="F1766" s="7">
        <v>0</v>
      </c>
      <c r="J1766" s="7"/>
    </row>
    <row r="1767" spans="6:10">
      <c r="F1767" s="7">
        <v>0</v>
      </c>
      <c r="J1767" s="7"/>
    </row>
    <row r="1768" spans="6:10">
      <c r="F1768" s="7">
        <v>0</v>
      </c>
      <c r="J1768" s="7"/>
    </row>
    <row r="1769" spans="6:10">
      <c r="F1769" s="7">
        <v>0</v>
      </c>
      <c r="J1769" s="7"/>
    </row>
    <row r="1770" spans="6:10">
      <c r="F1770" s="7">
        <v>0</v>
      </c>
      <c r="J1770" s="7"/>
    </row>
    <row r="1771" spans="6:10">
      <c r="F1771" s="7">
        <v>0</v>
      </c>
      <c r="J1771" s="7"/>
    </row>
    <row r="1772" spans="6:10">
      <c r="F1772" s="7">
        <v>0</v>
      </c>
      <c r="J1772" s="7"/>
    </row>
    <row r="1773" spans="6:10">
      <c r="F1773" s="7">
        <v>0</v>
      </c>
      <c r="J1773" s="7"/>
    </row>
    <row r="1774" spans="6:10">
      <c r="F1774" s="7">
        <v>0</v>
      </c>
      <c r="J1774" s="7"/>
    </row>
    <row r="1775" spans="6:10">
      <c r="F1775" s="7">
        <v>0</v>
      </c>
      <c r="J1775" s="7"/>
    </row>
    <row r="1776" spans="6:10">
      <c r="F1776" s="7">
        <v>0</v>
      </c>
      <c r="J1776" s="7"/>
    </row>
    <row r="1777" spans="6:10">
      <c r="F1777" s="7">
        <v>0</v>
      </c>
      <c r="J1777" s="7"/>
    </row>
    <row r="1778" spans="6:10">
      <c r="F1778" s="7">
        <v>0</v>
      </c>
      <c r="J1778" s="7"/>
    </row>
    <row r="1779" spans="6:10">
      <c r="F1779" s="7">
        <v>0</v>
      </c>
      <c r="J1779" s="7"/>
    </row>
    <row r="1780" spans="6:10">
      <c r="F1780" s="7">
        <v>0</v>
      </c>
      <c r="J1780" s="7"/>
    </row>
    <row r="1781" spans="6:10">
      <c r="F1781" s="7">
        <v>0</v>
      </c>
      <c r="J1781" s="7"/>
    </row>
    <row r="1782" spans="6:10">
      <c r="F1782" s="7">
        <v>0</v>
      </c>
      <c r="J1782" s="7"/>
    </row>
    <row r="1783" spans="6:10">
      <c r="F1783" s="7">
        <v>0</v>
      </c>
      <c r="J1783" s="7"/>
    </row>
    <row r="1784" spans="6:10">
      <c r="F1784" s="7">
        <v>0</v>
      </c>
      <c r="J1784" s="7"/>
    </row>
    <row r="1785" spans="6:10">
      <c r="F1785" s="7">
        <v>0</v>
      </c>
      <c r="J1785" s="7"/>
    </row>
    <row r="1786" spans="6:10">
      <c r="F1786" s="7">
        <v>0</v>
      </c>
      <c r="J1786" s="7"/>
    </row>
    <row r="1787" spans="6:10">
      <c r="F1787" s="7">
        <v>0</v>
      </c>
      <c r="J1787" s="7"/>
    </row>
    <row r="1788" spans="6:10">
      <c r="F1788" s="7">
        <v>0</v>
      </c>
      <c r="J1788" s="7"/>
    </row>
    <row r="1789" spans="6:10">
      <c r="F1789" s="7">
        <v>0</v>
      </c>
      <c r="J1789" s="7"/>
    </row>
    <row r="1790" spans="6:10">
      <c r="F1790" s="7">
        <v>0</v>
      </c>
      <c r="J1790" s="7"/>
    </row>
    <row r="1791" spans="6:10">
      <c r="F1791" s="7">
        <v>0</v>
      </c>
      <c r="J1791" s="7"/>
    </row>
    <row r="1792" spans="6:10">
      <c r="F1792" s="7">
        <v>0</v>
      </c>
      <c r="J1792" s="7"/>
    </row>
    <row r="1793" spans="6:10">
      <c r="F1793" s="7">
        <v>0</v>
      </c>
      <c r="J1793" s="7"/>
    </row>
    <row r="1794" spans="6:10">
      <c r="F1794" s="7">
        <v>0</v>
      </c>
      <c r="J1794" s="7"/>
    </row>
    <row r="1795" spans="6:10">
      <c r="F1795" s="7">
        <v>0</v>
      </c>
      <c r="J1795" s="7"/>
    </row>
    <row r="1796" spans="6:10">
      <c r="F1796" s="7">
        <v>0</v>
      </c>
      <c r="J1796" s="7"/>
    </row>
    <row r="1797" spans="6:10">
      <c r="F1797" s="7">
        <v>0</v>
      </c>
      <c r="J1797" s="7"/>
    </row>
    <row r="1798" spans="6:10">
      <c r="F1798" s="7">
        <v>0</v>
      </c>
      <c r="J1798" s="7"/>
    </row>
    <row r="1799" spans="6:10">
      <c r="F1799" s="7">
        <v>0</v>
      </c>
      <c r="J1799" s="7"/>
    </row>
    <row r="1800" spans="6:10">
      <c r="F1800" s="7">
        <v>0</v>
      </c>
      <c r="J1800" s="7"/>
    </row>
    <row r="1801" spans="6:10">
      <c r="F1801" s="7">
        <v>0</v>
      </c>
      <c r="J1801" s="7"/>
    </row>
    <row r="1802" spans="6:10">
      <c r="F1802" s="7">
        <v>0</v>
      </c>
      <c r="J1802" s="7"/>
    </row>
    <row r="1803" spans="6:10">
      <c r="F1803" s="7">
        <v>0</v>
      </c>
      <c r="J1803" s="7"/>
    </row>
    <row r="1804" spans="6:10">
      <c r="F1804" s="7">
        <v>0</v>
      </c>
      <c r="J1804" s="7"/>
    </row>
    <row r="1805" spans="6:10">
      <c r="F1805" s="7">
        <v>0</v>
      </c>
      <c r="J1805" s="7"/>
    </row>
    <row r="1806" spans="6:10">
      <c r="F1806" s="7">
        <v>0</v>
      </c>
      <c r="J1806" s="7"/>
    </row>
    <row r="1807" spans="6:10">
      <c r="F1807" s="7">
        <v>0</v>
      </c>
      <c r="J1807" s="7"/>
    </row>
    <row r="1808" spans="6:10">
      <c r="F1808" s="7">
        <v>0</v>
      </c>
      <c r="J1808" s="7"/>
    </row>
    <row r="1809" spans="6:10">
      <c r="F1809" s="7">
        <v>0</v>
      </c>
      <c r="J1809" s="7"/>
    </row>
    <row r="1810" spans="6:10">
      <c r="F1810" s="7">
        <v>0</v>
      </c>
      <c r="J1810" s="7"/>
    </row>
    <row r="1811" spans="6:10">
      <c r="F1811" s="7">
        <v>0</v>
      </c>
      <c r="J1811" s="7"/>
    </row>
    <row r="1812" spans="6:10">
      <c r="F1812" s="7">
        <v>0</v>
      </c>
      <c r="J1812" s="7"/>
    </row>
    <row r="1813" spans="6:10">
      <c r="F1813" s="7">
        <v>0</v>
      </c>
      <c r="J1813" s="7"/>
    </row>
    <row r="1814" spans="6:10">
      <c r="F1814" s="7">
        <v>0</v>
      </c>
      <c r="J1814" s="7"/>
    </row>
    <row r="1815" spans="6:10">
      <c r="F1815" s="7">
        <v>0</v>
      </c>
      <c r="J1815" s="7"/>
    </row>
    <row r="1816" spans="6:10">
      <c r="F1816" s="7">
        <v>0</v>
      </c>
      <c r="J1816" s="7"/>
    </row>
    <row r="1817" spans="6:10">
      <c r="F1817" s="7">
        <v>0</v>
      </c>
      <c r="J1817" s="7"/>
    </row>
    <row r="1818" spans="6:10">
      <c r="F1818" s="7">
        <v>0</v>
      </c>
      <c r="J1818" s="7"/>
    </row>
    <row r="1819" spans="6:10">
      <c r="F1819" s="7">
        <v>0</v>
      </c>
      <c r="J1819" s="7"/>
    </row>
    <row r="1820" spans="6:10">
      <c r="F1820" s="7">
        <v>0</v>
      </c>
      <c r="J1820" s="7"/>
    </row>
    <row r="1821" spans="6:10">
      <c r="F1821" s="7">
        <v>0</v>
      </c>
      <c r="J1821" s="7"/>
    </row>
    <row r="1822" spans="6:10">
      <c r="F1822" s="7">
        <v>0</v>
      </c>
      <c r="J1822" s="7"/>
    </row>
    <row r="1823" spans="6:10">
      <c r="F1823" s="7">
        <v>0</v>
      </c>
      <c r="J1823" s="7"/>
    </row>
    <row r="1824" spans="6:10">
      <c r="F1824" s="7">
        <v>0</v>
      </c>
      <c r="J1824" s="7"/>
    </row>
    <row r="1825" spans="6:10">
      <c r="F1825" s="7">
        <v>0</v>
      </c>
      <c r="J1825" s="7"/>
    </row>
    <row r="1826" spans="6:10">
      <c r="F1826" s="7">
        <v>0</v>
      </c>
      <c r="J1826" s="7"/>
    </row>
    <row r="1827" spans="6:10">
      <c r="F1827" s="7">
        <v>0</v>
      </c>
      <c r="J1827" s="7"/>
    </row>
    <row r="1828" spans="6:10">
      <c r="F1828" s="7">
        <v>0</v>
      </c>
      <c r="J1828" s="7"/>
    </row>
    <row r="1829" spans="6:10">
      <c r="F1829" s="7">
        <v>0</v>
      </c>
      <c r="J1829" s="7"/>
    </row>
    <row r="1830" spans="6:10">
      <c r="F1830" s="7">
        <v>0</v>
      </c>
      <c r="J1830" s="7"/>
    </row>
    <row r="1831" spans="6:10">
      <c r="F1831" s="7">
        <v>0</v>
      </c>
      <c r="J1831" s="7"/>
    </row>
    <row r="1832" spans="6:10">
      <c r="F1832" s="7">
        <v>0</v>
      </c>
      <c r="J1832" s="7"/>
    </row>
    <row r="1833" spans="6:10">
      <c r="F1833" s="7">
        <v>0</v>
      </c>
      <c r="J1833" s="7"/>
    </row>
    <row r="1834" spans="6:10">
      <c r="F1834" s="7">
        <v>0</v>
      </c>
      <c r="J1834" s="7"/>
    </row>
    <row r="1835" spans="6:10">
      <c r="F1835" s="7">
        <v>0</v>
      </c>
      <c r="J1835" s="7"/>
    </row>
    <row r="1836" spans="6:10">
      <c r="F1836" s="7">
        <v>0</v>
      </c>
      <c r="J1836" s="7"/>
    </row>
    <row r="1837" spans="6:10">
      <c r="F1837" s="7">
        <v>0</v>
      </c>
      <c r="J1837" s="7"/>
    </row>
    <row r="1838" spans="6:10">
      <c r="F1838" s="7">
        <v>0</v>
      </c>
      <c r="J1838" s="7"/>
    </row>
    <row r="1839" spans="6:10">
      <c r="F1839" s="7">
        <v>0</v>
      </c>
      <c r="J1839" s="7"/>
    </row>
    <row r="1840" spans="6:10">
      <c r="F1840" s="7">
        <v>0</v>
      </c>
      <c r="J1840" s="7"/>
    </row>
    <row r="1841" spans="6:10">
      <c r="F1841" s="7">
        <v>0</v>
      </c>
      <c r="J1841" s="7"/>
    </row>
    <row r="1842" spans="6:10">
      <c r="F1842" s="7">
        <v>0</v>
      </c>
      <c r="J1842" s="7"/>
    </row>
    <row r="1843" spans="6:10">
      <c r="F1843" s="7">
        <v>0</v>
      </c>
      <c r="J1843" s="7"/>
    </row>
    <row r="1844" spans="6:10">
      <c r="F1844" s="7">
        <v>0</v>
      </c>
      <c r="J1844" s="7"/>
    </row>
    <row r="1845" spans="6:10">
      <c r="F1845" s="7">
        <v>0</v>
      </c>
      <c r="J1845" s="7"/>
    </row>
    <row r="1846" spans="6:10">
      <c r="F1846" s="7">
        <v>0</v>
      </c>
      <c r="J1846" s="7"/>
    </row>
    <row r="1847" spans="6:10">
      <c r="F1847" s="7">
        <v>0</v>
      </c>
      <c r="J1847" s="7"/>
    </row>
    <row r="1848" spans="6:10">
      <c r="F1848" s="7">
        <v>0</v>
      </c>
      <c r="J1848" s="7"/>
    </row>
    <row r="1849" spans="6:10">
      <c r="F1849" s="7">
        <v>0</v>
      </c>
      <c r="J1849" s="7"/>
    </row>
    <row r="1850" spans="6:10">
      <c r="F1850" s="7">
        <v>0</v>
      </c>
      <c r="J1850" s="7"/>
    </row>
    <row r="1851" spans="6:10">
      <c r="F1851" s="7">
        <v>0</v>
      </c>
      <c r="J1851" s="7"/>
    </row>
    <row r="1852" spans="6:10">
      <c r="F1852" s="7">
        <v>0</v>
      </c>
      <c r="J1852" s="7"/>
    </row>
    <row r="1853" spans="6:10">
      <c r="F1853" s="7">
        <v>0</v>
      </c>
      <c r="J1853" s="7"/>
    </row>
    <row r="1854" spans="6:10">
      <c r="F1854" s="7">
        <v>0</v>
      </c>
      <c r="J1854" s="7"/>
    </row>
    <row r="1855" spans="6:10">
      <c r="F1855" s="7">
        <v>0</v>
      </c>
      <c r="J1855" s="7"/>
    </row>
    <row r="1856" spans="6:10">
      <c r="F1856" s="7">
        <v>0</v>
      </c>
      <c r="J1856" s="7"/>
    </row>
    <row r="1857" spans="6:10">
      <c r="F1857" s="7">
        <v>0</v>
      </c>
      <c r="J1857" s="7"/>
    </row>
    <row r="1858" spans="6:10">
      <c r="F1858" s="7">
        <v>0</v>
      </c>
      <c r="J1858" s="7"/>
    </row>
    <row r="1859" spans="6:10">
      <c r="F1859" s="7">
        <v>0</v>
      </c>
      <c r="J1859" s="7"/>
    </row>
    <row r="1860" spans="6:10">
      <c r="F1860" s="7">
        <v>0</v>
      </c>
      <c r="J1860" s="7"/>
    </row>
    <row r="1861" spans="6:10">
      <c r="F1861" s="7">
        <v>0</v>
      </c>
      <c r="J1861" s="7"/>
    </row>
    <row r="1862" spans="6:10">
      <c r="F1862" s="7">
        <v>0</v>
      </c>
      <c r="J1862" s="7"/>
    </row>
    <row r="1863" spans="6:10">
      <c r="F1863" s="7">
        <v>0</v>
      </c>
      <c r="J1863" s="7"/>
    </row>
    <row r="1864" spans="6:10">
      <c r="F1864" s="7">
        <v>0</v>
      </c>
      <c r="J1864" s="7"/>
    </row>
    <row r="1865" spans="6:10">
      <c r="J1865" s="7"/>
    </row>
    <row r="1866" spans="6:10">
      <c r="J1866" s="7"/>
    </row>
    <row r="1867" spans="6:10">
      <c r="J1867" s="7"/>
    </row>
    <row r="1868" spans="6:10">
      <c r="J1868" s="7"/>
    </row>
    <row r="1869" spans="6:10">
      <c r="J1869" s="7"/>
    </row>
    <row r="1870" spans="6:10">
      <c r="J1870" s="7"/>
    </row>
    <row r="1871" spans="6:10">
      <c r="J1871" s="7"/>
    </row>
    <row r="1872" spans="6:10">
      <c r="J1872" s="7"/>
    </row>
    <row r="1873" spans="10:10">
      <c r="J1873" s="7"/>
    </row>
    <row r="1874" spans="10:10">
      <c r="J1874" s="7"/>
    </row>
    <row r="1875" spans="10:10">
      <c r="J1875" s="7"/>
    </row>
    <row r="1876" spans="10:10">
      <c r="J1876" s="7"/>
    </row>
    <row r="1877" spans="10:10">
      <c r="J1877" s="7"/>
    </row>
    <row r="1878" spans="10:10">
      <c r="J1878" s="7"/>
    </row>
    <row r="1879" spans="10:10">
      <c r="J1879" s="7"/>
    </row>
    <row r="1880" spans="10:10">
      <c r="J1880" s="7"/>
    </row>
    <row r="1881" spans="10:10">
      <c r="J1881" s="7"/>
    </row>
    <row r="1882" spans="10:10">
      <c r="J1882" s="7"/>
    </row>
    <row r="1883" spans="10:10">
      <c r="J1883" s="7"/>
    </row>
    <row r="1884" spans="10:10">
      <c r="J1884" s="7"/>
    </row>
    <row r="1885" spans="10:10">
      <c r="J1885" s="7"/>
    </row>
    <row r="1886" spans="10:10">
      <c r="J1886" s="7"/>
    </row>
    <row r="1887" spans="10:10">
      <c r="J1887" s="7"/>
    </row>
    <row r="1888" spans="10:10">
      <c r="J1888" s="7"/>
    </row>
    <row r="1889" spans="10:10">
      <c r="J1889" s="7"/>
    </row>
    <row r="1890" spans="10:10">
      <c r="J1890" s="7"/>
    </row>
    <row r="1891" spans="10:10">
      <c r="J1891" s="7"/>
    </row>
    <row r="1892" spans="10:10">
      <c r="J1892" s="7"/>
    </row>
    <row r="1893" spans="10:10">
      <c r="J1893" s="7"/>
    </row>
    <row r="1894" spans="10:10">
      <c r="J1894" s="7"/>
    </row>
    <row r="1895" spans="10:10">
      <c r="J1895" s="7"/>
    </row>
    <row r="1896" spans="10:10">
      <c r="J1896" s="7"/>
    </row>
    <row r="1897" spans="10:10">
      <c r="J1897" s="7"/>
    </row>
    <row r="1898" spans="10:10">
      <c r="J1898" s="7"/>
    </row>
    <row r="1899" spans="10:10">
      <c r="J1899" s="7"/>
    </row>
    <row r="1900" spans="10:10">
      <c r="J1900" s="7"/>
    </row>
    <row r="1901" spans="10:10">
      <c r="J1901" s="7"/>
    </row>
    <row r="1902" spans="10:10">
      <c r="J1902" s="7"/>
    </row>
    <row r="1903" spans="10:10">
      <c r="J1903" s="7"/>
    </row>
    <row r="1904" spans="10:10">
      <c r="J1904" s="7"/>
    </row>
    <row r="1905" spans="10:10">
      <c r="J1905" s="7"/>
    </row>
    <row r="1906" spans="10:10">
      <c r="J1906" s="7"/>
    </row>
    <row r="1907" spans="10:10">
      <c r="J1907" s="7"/>
    </row>
    <row r="1908" spans="10:10">
      <c r="J1908" s="7"/>
    </row>
    <row r="1909" spans="10:10">
      <c r="J1909" s="7"/>
    </row>
    <row r="1910" spans="10:10">
      <c r="J1910" s="7"/>
    </row>
    <row r="1911" spans="10:10">
      <c r="J1911" s="7"/>
    </row>
    <row r="1912" spans="10:10">
      <c r="J1912" s="7"/>
    </row>
    <row r="1913" spans="10:10">
      <c r="J1913" s="7"/>
    </row>
    <row r="1914" spans="10:10">
      <c r="J1914" s="7"/>
    </row>
    <row r="1915" spans="10:10">
      <c r="J1915" s="7"/>
    </row>
    <row r="1916" spans="10:10">
      <c r="J1916" s="7"/>
    </row>
    <row r="1917" spans="10:10">
      <c r="J1917" s="7"/>
    </row>
    <row r="1918" spans="10:10">
      <c r="J1918" s="7"/>
    </row>
    <row r="1919" spans="10:10">
      <c r="J1919" s="7"/>
    </row>
    <row r="1920" spans="10:10">
      <c r="J1920" s="7"/>
    </row>
    <row r="1921" spans="10:10">
      <c r="J1921" s="7"/>
    </row>
    <row r="1922" spans="10:10">
      <c r="J1922" s="7"/>
    </row>
    <row r="1923" spans="10:10">
      <c r="J1923" s="7"/>
    </row>
    <row r="1924" spans="10:10">
      <c r="J1924" s="7"/>
    </row>
    <row r="1925" spans="10:10">
      <c r="J1925" s="7"/>
    </row>
    <row r="1926" spans="10:10">
      <c r="J1926" s="7"/>
    </row>
    <row r="1927" spans="10:10">
      <c r="J1927" s="7"/>
    </row>
    <row r="1928" spans="10:10">
      <c r="J1928" s="7"/>
    </row>
    <row r="1929" spans="10:10">
      <c r="J1929" s="7"/>
    </row>
    <row r="1930" spans="10:10">
      <c r="J1930" s="7"/>
    </row>
    <row r="1931" spans="10:10">
      <c r="J1931" s="7"/>
    </row>
    <row r="1932" spans="10:10">
      <c r="J1932" s="7"/>
    </row>
    <row r="1933" spans="10:10">
      <c r="J1933" s="7"/>
    </row>
    <row r="1934" spans="10:10">
      <c r="J1934" s="7"/>
    </row>
    <row r="1935" spans="10:10">
      <c r="J1935" s="7"/>
    </row>
    <row r="1936" spans="10:10">
      <c r="J1936" s="7"/>
    </row>
    <row r="1937" spans="10:10">
      <c r="J1937" s="7"/>
    </row>
    <row r="1938" spans="10:10">
      <c r="J1938" s="7"/>
    </row>
    <row r="1939" spans="10:10">
      <c r="J1939" s="7"/>
    </row>
    <row r="1940" spans="10:10">
      <c r="J1940" s="7"/>
    </row>
    <row r="1941" spans="10:10">
      <c r="J1941" s="7"/>
    </row>
    <row r="1942" spans="10:10">
      <c r="J1942" s="7"/>
    </row>
    <row r="1943" spans="10:10">
      <c r="J1943" s="7"/>
    </row>
    <row r="1944" spans="10:10">
      <c r="J1944" s="7"/>
    </row>
    <row r="1945" spans="10:10">
      <c r="J1945" s="7"/>
    </row>
    <row r="1946" spans="10:10">
      <c r="J1946" s="7"/>
    </row>
    <row r="1947" spans="10:10">
      <c r="J1947" s="7"/>
    </row>
    <row r="1948" spans="10:10">
      <c r="J1948" s="7"/>
    </row>
    <row r="1949" spans="10:10">
      <c r="J1949" s="7"/>
    </row>
    <row r="1950" spans="10:10">
      <c r="J1950" s="7"/>
    </row>
    <row r="1951" spans="10:10">
      <c r="J1951" s="7"/>
    </row>
    <row r="1952" spans="10:10">
      <c r="J1952" s="7"/>
    </row>
    <row r="1953" spans="10:10">
      <c r="J1953" s="7"/>
    </row>
    <row r="1954" spans="10:10">
      <c r="J1954" s="7"/>
    </row>
    <row r="1955" spans="10:10">
      <c r="J1955" s="7"/>
    </row>
    <row r="1956" spans="10:10">
      <c r="J1956" s="7"/>
    </row>
    <row r="1957" spans="10:10">
      <c r="J1957" s="7"/>
    </row>
    <row r="1958" spans="10:10">
      <c r="J1958" s="7"/>
    </row>
    <row r="1959" spans="10:10">
      <c r="J1959" s="7"/>
    </row>
    <row r="1960" spans="10:10">
      <c r="J1960" s="7"/>
    </row>
    <row r="1961" spans="10:10">
      <c r="J1961" s="7"/>
    </row>
    <row r="1962" spans="10:10">
      <c r="J1962" s="7"/>
    </row>
    <row r="1963" spans="10:10">
      <c r="J1963" s="7"/>
    </row>
    <row r="1964" spans="10:10">
      <c r="J1964" s="7"/>
    </row>
    <row r="1965" spans="10:10">
      <c r="J1965" s="7"/>
    </row>
    <row r="1966" spans="10:10">
      <c r="J1966" s="7"/>
    </row>
    <row r="1967" spans="10:10">
      <c r="J1967" s="7"/>
    </row>
    <row r="1968" spans="10:10">
      <c r="J1968" s="7"/>
    </row>
    <row r="1969" spans="10:10">
      <c r="J1969" s="7"/>
    </row>
    <row r="1970" spans="10:10">
      <c r="J1970" s="7"/>
    </row>
    <row r="1971" spans="10:10">
      <c r="J1971" s="7"/>
    </row>
    <row r="1972" spans="10:10">
      <c r="J1972" s="7"/>
    </row>
    <row r="1973" spans="10:10">
      <c r="J1973" s="7"/>
    </row>
    <row r="1974" spans="10:10">
      <c r="J1974" s="7"/>
    </row>
    <row r="1975" spans="10:10">
      <c r="J1975" s="7"/>
    </row>
    <row r="1976" spans="10:10">
      <c r="J1976" s="7"/>
    </row>
    <row r="1977" spans="10:10">
      <c r="J1977" s="7"/>
    </row>
    <row r="1978" spans="10:10">
      <c r="J1978" s="7"/>
    </row>
    <row r="1979" spans="10:10">
      <c r="J1979" s="7"/>
    </row>
    <row r="1980" spans="10:10">
      <c r="J1980" s="7"/>
    </row>
    <row r="1981" spans="10:10">
      <c r="J1981" s="7"/>
    </row>
    <row r="1982" spans="10:10">
      <c r="J1982" s="7"/>
    </row>
    <row r="1983" spans="10:10">
      <c r="J1983" s="7"/>
    </row>
    <row r="1984" spans="10:10">
      <c r="J1984" s="7"/>
    </row>
    <row r="1985" spans="10:10">
      <c r="J1985" s="7"/>
    </row>
    <row r="1986" spans="10:10">
      <c r="J1986" s="7"/>
    </row>
    <row r="1987" spans="10:10">
      <c r="J1987" s="7"/>
    </row>
    <row r="1988" spans="10:10">
      <c r="J1988" s="7"/>
    </row>
    <row r="1989" spans="10:10">
      <c r="J1989" s="7"/>
    </row>
    <row r="1990" spans="10:10">
      <c r="J1990" s="7"/>
    </row>
    <row r="1991" spans="10:10">
      <c r="J1991" s="7"/>
    </row>
    <row r="1992" spans="10:10">
      <c r="J1992" s="7"/>
    </row>
    <row r="1993" spans="10:10">
      <c r="J1993" s="7"/>
    </row>
    <row r="1994" spans="10:10">
      <c r="J1994" s="7"/>
    </row>
    <row r="1995" spans="10:10">
      <c r="J1995" s="7"/>
    </row>
    <row r="1996" spans="10:10">
      <c r="J1996" s="7"/>
    </row>
    <row r="1997" spans="10:10">
      <c r="J1997" s="7"/>
    </row>
    <row r="1998" spans="10:10">
      <c r="J1998" s="7"/>
    </row>
    <row r="1999" spans="10:10">
      <c r="J1999" s="7"/>
    </row>
    <row r="2000" spans="10:10">
      <c r="J2000" s="7"/>
    </row>
    <row r="2001" spans="10:10">
      <c r="J2001" s="7"/>
    </row>
    <row r="2002" spans="10:10">
      <c r="J2002" s="7"/>
    </row>
    <row r="2003" spans="10:10">
      <c r="J2003" s="7"/>
    </row>
    <row r="2004" spans="10:10">
      <c r="J2004" s="7"/>
    </row>
    <row r="2005" spans="10:10">
      <c r="J2005" s="7"/>
    </row>
    <row r="2006" spans="10:10">
      <c r="J2006" s="7"/>
    </row>
    <row r="2007" spans="10:10">
      <c r="J2007" s="7"/>
    </row>
    <row r="2008" spans="10:10">
      <c r="J2008" s="7"/>
    </row>
    <row r="2009" spans="10:10">
      <c r="J2009" s="7"/>
    </row>
    <row r="2010" spans="10:10">
      <c r="J2010" s="7"/>
    </row>
    <row r="2011" spans="10:10">
      <c r="J2011" s="7"/>
    </row>
    <row r="2012" spans="10:10">
      <c r="J2012" s="7"/>
    </row>
    <row r="2013" spans="10:10">
      <c r="J2013" s="7"/>
    </row>
    <row r="2014" spans="10:10">
      <c r="J2014" s="7"/>
    </row>
    <row r="2015" spans="10:10">
      <c r="J2015" s="7"/>
    </row>
    <row r="2016" spans="10:10">
      <c r="J2016" s="7"/>
    </row>
    <row r="2017" spans="10:10">
      <c r="J2017" s="7"/>
    </row>
    <row r="2018" spans="10:10">
      <c r="J2018" s="7"/>
    </row>
    <row r="2019" spans="10:10">
      <c r="J2019" s="7"/>
    </row>
    <row r="2020" spans="10:10">
      <c r="J2020" s="7"/>
    </row>
    <row r="2021" spans="10:10">
      <c r="J2021" s="7"/>
    </row>
    <row r="2022" spans="10:10">
      <c r="J2022" s="7"/>
    </row>
    <row r="2023" spans="10:10">
      <c r="J2023" s="7"/>
    </row>
    <row r="2024" spans="10:10">
      <c r="J2024" s="7"/>
    </row>
    <row r="2025" spans="10:10">
      <c r="J2025" s="7"/>
    </row>
    <row r="2026" spans="10:10">
      <c r="J2026" s="7"/>
    </row>
    <row r="2027" spans="10:10">
      <c r="J2027" s="7"/>
    </row>
    <row r="2028" spans="10:10">
      <c r="J2028" s="7"/>
    </row>
    <row r="2029" spans="10:10">
      <c r="J2029" s="7"/>
    </row>
    <row r="2030" spans="10:10">
      <c r="J2030" s="7"/>
    </row>
    <row r="2031" spans="10:10">
      <c r="J2031" s="7"/>
    </row>
    <row r="2032" spans="10:10">
      <c r="J2032" s="7"/>
    </row>
    <row r="2033" spans="10:10">
      <c r="J2033" s="7"/>
    </row>
    <row r="2034" spans="10:10">
      <c r="J2034" s="7"/>
    </row>
    <row r="2035" spans="10:10">
      <c r="J2035" s="7"/>
    </row>
    <row r="2036" spans="10:10">
      <c r="J2036" s="7"/>
    </row>
    <row r="2037" spans="10:10">
      <c r="J2037" s="7"/>
    </row>
    <row r="2038" spans="10:10">
      <c r="J2038" s="7"/>
    </row>
    <row r="2039" spans="10:10">
      <c r="J2039" s="7"/>
    </row>
    <row r="2040" spans="10:10">
      <c r="J2040" s="7"/>
    </row>
    <row r="2041" spans="10:10">
      <c r="J2041" s="7"/>
    </row>
    <row r="2042" spans="10:10">
      <c r="J2042" s="7"/>
    </row>
    <row r="2043" spans="10:10">
      <c r="J2043" s="7"/>
    </row>
    <row r="2044" spans="10:10">
      <c r="J2044" s="7"/>
    </row>
    <row r="2045" spans="10:10">
      <c r="J2045" s="7"/>
    </row>
    <row r="2046" spans="10:10">
      <c r="J2046" s="7"/>
    </row>
    <row r="2047" spans="10:10">
      <c r="J2047" s="7"/>
    </row>
    <row r="2048" spans="10:10">
      <c r="J2048" s="7"/>
    </row>
    <row r="2049" spans="10:10">
      <c r="J2049" s="7"/>
    </row>
    <row r="2050" spans="10:10">
      <c r="J2050" s="7"/>
    </row>
    <row r="2051" spans="10:10">
      <c r="J2051" s="7"/>
    </row>
    <row r="2052" spans="10:10">
      <c r="J2052" s="7"/>
    </row>
    <row r="2053" spans="10:10">
      <c r="J2053" s="7"/>
    </row>
    <row r="2054" spans="10:10">
      <c r="J2054" s="7"/>
    </row>
    <row r="2055" spans="10:10">
      <c r="J2055" s="7"/>
    </row>
    <row r="2056" spans="10:10">
      <c r="J2056" s="7"/>
    </row>
    <row r="2057" spans="10:10">
      <c r="J2057" s="7"/>
    </row>
    <row r="2058" spans="10:10">
      <c r="J2058" s="7"/>
    </row>
    <row r="2059" spans="10:10">
      <c r="J2059" s="7"/>
    </row>
    <row r="2060" spans="10:10">
      <c r="J2060" s="7"/>
    </row>
    <row r="2061" spans="10:10">
      <c r="J2061" s="7"/>
    </row>
    <row r="2062" spans="10:10">
      <c r="J2062" s="7"/>
    </row>
    <row r="2063" spans="10:10">
      <c r="J2063" s="7"/>
    </row>
    <row r="2064" spans="10:10">
      <c r="J2064" s="7"/>
    </row>
    <row r="2065" spans="10:10">
      <c r="J2065" s="7"/>
    </row>
    <row r="2066" spans="10:10">
      <c r="J2066" s="7"/>
    </row>
    <row r="2067" spans="10:10">
      <c r="J2067" s="7"/>
    </row>
    <row r="2068" spans="10:10">
      <c r="J2068" s="7"/>
    </row>
    <row r="2069" spans="10:10">
      <c r="J2069" s="7"/>
    </row>
    <row r="2070" spans="10:10">
      <c r="J2070" s="7"/>
    </row>
    <row r="2071" spans="10:10">
      <c r="J2071" s="7"/>
    </row>
    <row r="2072" spans="10:10">
      <c r="J2072" s="7"/>
    </row>
    <row r="2073" spans="10:10">
      <c r="J2073" s="7"/>
    </row>
    <row r="2074" spans="10:10">
      <c r="J2074" s="7"/>
    </row>
    <row r="2075" spans="10:10">
      <c r="J2075" s="7"/>
    </row>
    <row r="2076" spans="10:10">
      <c r="J2076" s="7"/>
    </row>
    <row r="2077" spans="10:10">
      <c r="J2077" s="7"/>
    </row>
    <row r="2078" spans="10:10">
      <c r="J2078" s="7"/>
    </row>
    <row r="2079" spans="10:10">
      <c r="J2079" s="7"/>
    </row>
    <row r="2080" spans="10:10">
      <c r="J2080" s="7"/>
    </row>
    <row r="2081" spans="10:10">
      <c r="J2081" s="7"/>
    </row>
    <row r="2082" spans="10:10">
      <c r="J2082" s="7"/>
    </row>
    <row r="2083" spans="10:10">
      <c r="J2083" s="7"/>
    </row>
    <row r="2084" spans="10:10">
      <c r="J2084" s="7"/>
    </row>
    <row r="2085" spans="10:10">
      <c r="J2085" s="7"/>
    </row>
    <row r="2086" spans="10:10">
      <c r="J2086" s="7"/>
    </row>
    <row r="2087" spans="10:10">
      <c r="J2087" s="7"/>
    </row>
    <row r="2088" spans="10:10">
      <c r="J2088" s="7"/>
    </row>
    <row r="2089" spans="10:10">
      <c r="J2089" s="7"/>
    </row>
    <row r="2090" spans="10:10">
      <c r="J2090" s="7"/>
    </row>
    <row r="2091" spans="10:10">
      <c r="J2091" s="7"/>
    </row>
    <row r="2092" spans="10:10">
      <c r="J2092" s="7"/>
    </row>
    <row r="2093" spans="10:10">
      <c r="J2093" s="7"/>
    </row>
    <row r="2094" spans="10:10">
      <c r="J2094" s="7"/>
    </row>
    <row r="2095" spans="10:10">
      <c r="J2095" s="7"/>
    </row>
    <row r="2096" spans="10:10">
      <c r="J2096" s="7"/>
    </row>
    <row r="2097" spans="10:10">
      <c r="J2097" s="7"/>
    </row>
    <row r="2098" spans="10:10">
      <c r="J2098" s="7"/>
    </row>
    <row r="2099" spans="10:10">
      <c r="J2099" s="7"/>
    </row>
    <row r="2100" spans="10:10">
      <c r="J2100" s="7"/>
    </row>
    <row r="2101" spans="10:10">
      <c r="J2101" s="7"/>
    </row>
    <row r="2102" spans="10:10">
      <c r="J2102" s="7"/>
    </row>
    <row r="2103" spans="10:10">
      <c r="J2103" s="7"/>
    </row>
    <row r="2104" spans="10:10">
      <c r="J2104" s="7"/>
    </row>
    <row r="2105" spans="10:10">
      <c r="J2105" s="7"/>
    </row>
    <row r="2106" spans="10:10">
      <c r="J2106" s="7"/>
    </row>
    <row r="2107" spans="10:10">
      <c r="J2107" s="7"/>
    </row>
    <row r="2108" spans="10:10">
      <c r="J2108" s="7"/>
    </row>
    <row r="2109" spans="10:10">
      <c r="J2109" s="7"/>
    </row>
    <row r="2110" spans="10:10">
      <c r="J2110" s="7"/>
    </row>
    <row r="2111" spans="10:10">
      <c r="J2111" s="7"/>
    </row>
    <row r="2112" spans="10:10">
      <c r="J2112" s="7"/>
    </row>
    <row r="2113" spans="10:10">
      <c r="J2113" s="7"/>
    </row>
    <row r="2114" spans="10:10">
      <c r="J2114" s="7"/>
    </row>
    <row r="2115" spans="10:10">
      <c r="J2115" s="7"/>
    </row>
    <row r="2116" spans="10:10">
      <c r="J2116" s="7"/>
    </row>
    <row r="2117" spans="10:10">
      <c r="J2117" s="7"/>
    </row>
    <row r="2118" spans="10:10">
      <c r="J2118" s="7"/>
    </row>
    <row r="2119" spans="10:10">
      <c r="J2119" s="7"/>
    </row>
    <row r="2120" spans="10:10">
      <c r="J2120" s="7"/>
    </row>
    <row r="2121" spans="10:10">
      <c r="J2121" s="7"/>
    </row>
    <row r="2122" spans="10:10">
      <c r="J2122" s="7"/>
    </row>
    <row r="2123" spans="10:10">
      <c r="J2123" s="7"/>
    </row>
    <row r="2124" spans="10:10">
      <c r="J2124" s="7"/>
    </row>
    <row r="2125" spans="10:10">
      <c r="J2125" s="7"/>
    </row>
    <row r="2126" spans="10:10">
      <c r="J2126" s="7"/>
    </row>
    <row r="2127" spans="10:10">
      <c r="J2127" s="7"/>
    </row>
    <row r="2128" spans="10:10">
      <c r="J2128" s="7"/>
    </row>
    <row r="2129" spans="10:10">
      <c r="J2129" s="7"/>
    </row>
    <row r="2130" spans="10:10">
      <c r="J2130" s="7"/>
    </row>
    <row r="2131" spans="10:10">
      <c r="J2131" s="7"/>
    </row>
    <row r="2132" spans="10:10">
      <c r="J2132" s="7"/>
    </row>
    <row r="2133" spans="10:10">
      <c r="J2133" s="7"/>
    </row>
    <row r="2134" spans="10:10">
      <c r="J2134" s="7"/>
    </row>
    <row r="2135" spans="10:10">
      <c r="J2135" s="7"/>
    </row>
    <row r="2136" spans="10:10">
      <c r="J2136" s="7"/>
    </row>
    <row r="2137" spans="10:10">
      <c r="J2137" s="7"/>
    </row>
    <row r="2138" spans="10:10">
      <c r="J2138" s="7"/>
    </row>
    <row r="2139" spans="10:10">
      <c r="J2139" s="7"/>
    </row>
    <row r="2140" spans="10:10">
      <c r="J2140" s="7"/>
    </row>
    <row r="2141" spans="10:10">
      <c r="J2141" s="7"/>
    </row>
    <row r="2142" spans="10:10">
      <c r="J2142" s="7"/>
    </row>
    <row r="2143" spans="10:10">
      <c r="J2143" s="7"/>
    </row>
    <row r="2144" spans="10:10">
      <c r="J2144" s="7"/>
    </row>
    <row r="2145" spans="10:10">
      <c r="J2145" s="7"/>
    </row>
    <row r="2146" spans="10:10">
      <c r="J2146" s="7"/>
    </row>
    <row r="2147" spans="10:10">
      <c r="J2147" s="7"/>
    </row>
    <row r="2148" spans="10:10">
      <c r="J2148" s="7"/>
    </row>
    <row r="2149" spans="10:10">
      <c r="J2149" s="7"/>
    </row>
    <row r="2150" spans="10:10">
      <c r="J2150" s="7"/>
    </row>
    <row r="2151" spans="10:10">
      <c r="J2151" s="7"/>
    </row>
    <row r="2152" spans="10:10">
      <c r="J2152" s="7"/>
    </row>
    <row r="2153" spans="10:10">
      <c r="J2153" s="7"/>
    </row>
    <row r="2154" spans="10:10">
      <c r="J2154" s="7"/>
    </row>
    <row r="2155" spans="10:10">
      <c r="J2155" s="7"/>
    </row>
    <row r="2156" spans="10:10">
      <c r="J2156" s="7"/>
    </row>
    <row r="2157" spans="10:10">
      <c r="J2157" s="7"/>
    </row>
    <row r="2158" spans="10:10">
      <c r="J2158" s="7"/>
    </row>
    <row r="2159" spans="10:10">
      <c r="J2159" s="7"/>
    </row>
    <row r="2160" spans="10:10">
      <c r="J2160" s="7"/>
    </row>
    <row r="2161" spans="10:10">
      <c r="J2161" s="7"/>
    </row>
    <row r="2162" spans="10:10">
      <c r="J2162" s="7"/>
    </row>
    <row r="2163" spans="10:10">
      <c r="J2163" s="7"/>
    </row>
    <row r="2164" spans="10:10">
      <c r="J2164" s="7"/>
    </row>
    <row r="2165" spans="10:10">
      <c r="J2165" s="7"/>
    </row>
    <row r="2166" spans="10:10">
      <c r="J2166" s="7"/>
    </row>
    <row r="2167" spans="10:10">
      <c r="J2167" s="7"/>
    </row>
    <row r="2168" spans="10:10">
      <c r="J2168" s="7"/>
    </row>
    <row r="2169" spans="10:10">
      <c r="J2169" s="7"/>
    </row>
    <row r="2170" spans="10:10">
      <c r="J2170" s="7"/>
    </row>
    <row r="2171" spans="10:10">
      <c r="J2171" s="7"/>
    </row>
    <row r="2172" spans="10:10">
      <c r="J2172" s="7"/>
    </row>
    <row r="2173" spans="10:10">
      <c r="J2173" s="7"/>
    </row>
    <row r="2174" spans="10:10">
      <c r="J2174" s="7"/>
    </row>
    <row r="2175" spans="10:10">
      <c r="J2175" s="7"/>
    </row>
    <row r="2176" spans="10:10">
      <c r="J2176" s="7"/>
    </row>
    <row r="2177" spans="10:10">
      <c r="J2177" s="7"/>
    </row>
    <row r="2178" spans="10:10">
      <c r="J2178" s="7"/>
    </row>
    <row r="2179" spans="10:10">
      <c r="J2179" s="7"/>
    </row>
    <row r="2180" spans="10:10">
      <c r="J2180" s="7"/>
    </row>
    <row r="2181" spans="10:10">
      <c r="J2181" s="7"/>
    </row>
    <row r="2182" spans="10:10">
      <c r="J2182" s="7"/>
    </row>
    <row r="2183" spans="10:10">
      <c r="J2183" s="7"/>
    </row>
    <row r="2184" spans="10:10">
      <c r="J2184" s="7"/>
    </row>
    <row r="2185" spans="10:10">
      <c r="J2185" s="7"/>
    </row>
    <row r="2186" spans="10:10">
      <c r="J2186" s="7"/>
    </row>
    <row r="2187" spans="10:10">
      <c r="J2187" s="7"/>
    </row>
    <row r="2188" spans="10:10">
      <c r="J2188" s="7"/>
    </row>
    <row r="2189" spans="10:10">
      <c r="J2189" s="7"/>
    </row>
    <row r="2190" spans="10:10">
      <c r="J2190" s="7"/>
    </row>
    <row r="2191" spans="10:10">
      <c r="J2191" s="7"/>
    </row>
    <row r="2192" spans="10:10">
      <c r="J2192" s="7"/>
    </row>
    <row r="2193" spans="10:10">
      <c r="J2193" s="7"/>
    </row>
    <row r="2194" spans="10:10">
      <c r="J2194" s="7"/>
    </row>
    <row r="2195" spans="10:10">
      <c r="J2195" s="7"/>
    </row>
    <row r="2196" spans="10:10">
      <c r="J2196" s="7"/>
    </row>
    <row r="2197" spans="10:10">
      <c r="J2197" s="7"/>
    </row>
    <row r="2198" spans="10:10">
      <c r="J2198" s="7"/>
    </row>
    <row r="2199" spans="10:10">
      <c r="J2199" s="7"/>
    </row>
    <row r="2200" spans="10:10">
      <c r="J2200" s="7"/>
    </row>
    <row r="2201" spans="10:10">
      <c r="J2201" s="7"/>
    </row>
    <row r="2202" spans="10:10">
      <c r="J2202" s="7"/>
    </row>
    <row r="2203" spans="10:10">
      <c r="J2203" s="7"/>
    </row>
    <row r="2204" spans="10:10">
      <c r="J2204" s="7"/>
    </row>
    <row r="2205" spans="10:10">
      <c r="J2205" s="7"/>
    </row>
    <row r="2206" spans="10:10">
      <c r="J2206" s="7"/>
    </row>
    <row r="2207" spans="10:10">
      <c r="J2207" s="7"/>
    </row>
    <row r="2208" spans="10:10">
      <c r="J2208" s="7"/>
    </row>
    <row r="2209" spans="10:10">
      <c r="J2209" s="7"/>
    </row>
    <row r="2210" spans="10:10">
      <c r="J2210" s="7"/>
    </row>
    <row r="2211" spans="10:10">
      <c r="J2211" s="7"/>
    </row>
    <row r="2212" spans="10:10">
      <c r="J2212" s="7"/>
    </row>
    <row r="2213" spans="10:10">
      <c r="J2213" s="7"/>
    </row>
    <row r="2214" spans="10:10">
      <c r="J2214" s="7"/>
    </row>
    <row r="2215" spans="10:10">
      <c r="J2215" s="7"/>
    </row>
    <row r="2216" spans="10:10">
      <c r="J2216" s="7"/>
    </row>
    <row r="2217" spans="10:10">
      <c r="J2217" s="7"/>
    </row>
    <row r="2218" spans="10:10">
      <c r="J2218" s="7"/>
    </row>
    <row r="2219" spans="10:10">
      <c r="J2219" s="7"/>
    </row>
    <row r="2220" spans="10:10">
      <c r="J2220" s="7"/>
    </row>
    <row r="2221" spans="10:10">
      <c r="J2221" s="7"/>
    </row>
    <row r="2222" spans="10:10">
      <c r="J2222" s="7"/>
    </row>
    <row r="2223" spans="10:10">
      <c r="J2223" s="7"/>
    </row>
    <row r="2224" spans="10:10">
      <c r="J2224" s="7"/>
    </row>
    <row r="2225" spans="10:10">
      <c r="J2225" s="7"/>
    </row>
    <row r="2226" spans="10:10">
      <c r="J2226" s="7"/>
    </row>
    <row r="2227" spans="10:10">
      <c r="J2227" s="7"/>
    </row>
    <row r="2228" spans="10:10">
      <c r="J2228" s="7"/>
    </row>
    <row r="2229" spans="10:10">
      <c r="J2229" s="7"/>
    </row>
    <row r="2230" spans="10:10">
      <c r="J2230" s="7"/>
    </row>
    <row r="2231" spans="10:10">
      <c r="J2231" s="7"/>
    </row>
    <row r="2232" spans="10:10">
      <c r="J2232" s="7"/>
    </row>
    <row r="2233" spans="10:10">
      <c r="J2233" s="7"/>
    </row>
    <row r="2234" spans="10:10">
      <c r="J2234" s="7"/>
    </row>
    <row r="2235" spans="10:10">
      <c r="J2235" s="7"/>
    </row>
    <row r="2236" spans="10:10">
      <c r="J2236" s="7"/>
    </row>
    <row r="2237" spans="10:10">
      <c r="J2237" s="7"/>
    </row>
    <row r="2238" spans="10:10">
      <c r="J2238" s="7"/>
    </row>
    <row r="2239" spans="10:10">
      <c r="J2239" s="7"/>
    </row>
    <row r="2240" spans="10:10">
      <c r="J2240" s="7"/>
    </row>
    <row r="2241" spans="10:10">
      <c r="J2241" s="7"/>
    </row>
    <row r="2242" spans="10:10">
      <c r="J2242" s="7"/>
    </row>
    <row r="2243" spans="10:10">
      <c r="J2243" s="7"/>
    </row>
    <row r="2244" spans="10:10">
      <c r="J2244" s="7"/>
    </row>
    <row r="2245" spans="10:10">
      <c r="J2245" s="7"/>
    </row>
    <row r="2246" spans="10:10">
      <c r="J2246" s="7"/>
    </row>
    <row r="2247" spans="10:10">
      <c r="J2247" s="7"/>
    </row>
    <row r="2248" spans="10:10">
      <c r="J2248" s="7"/>
    </row>
    <row r="2249" spans="10:10">
      <c r="J2249" s="7"/>
    </row>
    <row r="2250" spans="10:10">
      <c r="J2250" s="7"/>
    </row>
    <row r="2251" spans="10:10">
      <c r="J2251" s="7"/>
    </row>
    <row r="2252" spans="10:10">
      <c r="J2252" s="7"/>
    </row>
    <row r="2253" spans="10:10">
      <c r="J2253" s="7"/>
    </row>
    <row r="2254" spans="10:10">
      <c r="J2254" s="7"/>
    </row>
    <row r="2255" spans="10:10">
      <c r="J2255" s="7"/>
    </row>
    <row r="2256" spans="10:10">
      <c r="J2256" s="7"/>
    </row>
    <row r="2257" spans="10:10">
      <c r="J2257" s="7"/>
    </row>
    <row r="2258" spans="10:10">
      <c r="J2258" s="7"/>
    </row>
    <row r="2259" spans="10:10">
      <c r="J2259" s="7"/>
    </row>
    <row r="2260" spans="10:10">
      <c r="J2260" s="7"/>
    </row>
    <row r="2261" spans="10:10">
      <c r="J2261" s="7"/>
    </row>
    <row r="2262" spans="10:10">
      <c r="J2262" s="7"/>
    </row>
    <row r="2263" spans="10:10">
      <c r="J2263" s="7"/>
    </row>
    <row r="2264" spans="10:10">
      <c r="J2264" s="7"/>
    </row>
    <row r="2265" spans="10:10">
      <c r="J2265" s="7"/>
    </row>
    <row r="2266" spans="10:10">
      <c r="J2266" s="7"/>
    </row>
    <row r="2267" spans="10:10">
      <c r="J2267" s="7"/>
    </row>
    <row r="2268" spans="10:10">
      <c r="J2268" s="7"/>
    </row>
    <row r="2269" spans="10:10">
      <c r="J2269" s="7"/>
    </row>
    <row r="2270" spans="10:10">
      <c r="J2270" s="7"/>
    </row>
    <row r="2271" spans="10:10">
      <c r="J2271" s="7"/>
    </row>
    <row r="2272" spans="10:10">
      <c r="J2272" s="7"/>
    </row>
    <row r="2273" spans="10:10">
      <c r="J2273" s="7"/>
    </row>
    <row r="2274" spans="10:10">
      <c r="J2274" s="7"/>
    </row>
    <row r="2275" spans="10:10">
      <c r="J2275" s="7"/>
    </row>
    <row r="2276" spans="10:10">
      <c r="J2276" s="7"/>
    </row>
    <row r="2277" spans="10:10">
      <c r="J2277" s="7"/>
    </row>
    <row r="2278" spans="10:10">
      <c r="J2278" s="7"/>
    </row>
    <row r="2279" spans="10:10">
      <c r="J2279" s="7"/>
    </row>
    <row r="2280" spans="10:10">
      <c r="J2280" s="7"/>
    </row>
    <row r="2281" spans="10:10">
      <c r="J2281" s="7"/>
    </row>
    <row r="2282" spans="10:10">
      <c r="J2282" s="7"/>
    </row>
    <row r="2283" spans="10:10">
      <c r="J2283" s="7"/>
    </row>
    <row r="2284" spans="10:10">
      <c r="J2284" s="7"/>
    </row>
    <row r="2285" spans="10:10">
      <c r="J2285" s="7"/>
    </row>
    <row r="2286" spans="10:10">
      <c r="J2286" s="7"/>
    </row>
    <row r="2287" spans="10:10">
      <c r="J2287" s="7"/>
    </row>
    <row r="2288" spans="10:10">
      <c r="J2288" s="7"/>
    </row>
    <row r="2289" spans="10:10">
      <c r="J2289" s="7"/>
    </row>
    <row r="2290" spans="10:10">
      <c r="J2290" s="7"/>
    </row>
    <row r="2291" spans="10:10">
      <c r="J2291" s="7"/>
    </row>
    <row r="2292" spans="10:10">
      <c r="J2292" s="7"/>
    </row>
    <row r="2293" spans="10:10">
      <c r="J2293" s="7"/>
    </row>
    <row r="2294" spans="10:10">
      <c r="J2294" s="7"/>
    </row>
    <row r="2295" spans="10:10">
      <c r="J2295" s="7"/>
    </row>
    <row r="2296" spans="10:10">
      <c r="J2296" s="7"/>
    </row>
    <row r="2297" spans="10:10">
      <c r="J2297" s="7"/>
    </row>
    <row r="2298" spans="10:10">
      <c r="J2298" s="7"/>
    </row>
    <row r="2299" spans="10:10">
      <c r="J2299" s="7"/>
    </row>
    <row r="2300" spans="10:10">
      <c r="J2300" s="7"/>
    </row>
    <row r="2301" spans="10:10">
      <c r="J2301" s="7"/>
    </row>
    <row r="2302" spans="10:10">
      <c r="J2302" s="7"/>
    </row>
    <row r="2303" spans="10:10">
      <c r="J2303" s="7"/>
    </row>
    <row r="2304" spans="10:10">
      <c r="J2304" s="7"/>
    </row>
    <row r="2305" spans="10:10">
      <c r="J2305" s="7"/>
    </row>
    <row r="2306" spans="10:10">
      <c r="J2306" s="7"/>
    </row>
    <row r="2307" spans="10:10">
      <c r="J2307" s="7"/>
    </row>
    <row r="2308" spans="10:10">
      <c r="J2308" s="7"/>
    </row>
    <row r="2309" spans="10:10">
      <c r="J2309" s="7"/>
    </row>
    <row r="2310" spans="10:10">
      <c r="J2310" s="7"/>
    </row>
    <row r="2311" spans="10:10">
      <c r="J2311" s="7"/>
    </row>
    <row r="2312" spans="10:10">
      <c r="J2312" s="7"/>
    </row>
    <row r="2313" spans="10:10">
      <c r="J2313" s="7"/>
    </row>
    <row r="2314" spans="10:10">
      <c r="J2314" s="7"/>
    </row>
    <row r="2315" spans="10:10">
      <c r="J2315" s="7"/>
    </row>
    <row r="2316" spans="10:10">
      <c r="J2316" s="7"/>
    </row>
    <row r="2317" spans="10:10">
      <c r="J2317" s="7"/>
    </row>
    <row r="2318" spans="10:10">
      <c r="J2318" s="7"/>
    </row>
    <row r="2319" spans="10:10">
      <c r="J2319" s="7"/>
    </row>
    <row r="2320" spans="10:10">
      <c r="J2320" s="7"/>
    </row>
    <row r="2321" spans="10:10">
      <c r="J2321" s="7"/>
    </row>
    <row r="2322" spans="10:10">
      <c r="J2322" s="7"/>
    </row>
    <row r="2323" spans="10:10">
      <c r="J2323" s="7"/>
    </row>
    <row r="2324" spans="10:10">
      <c r="J2324" s="7"/>
    </row>
    <row r="2325" spans="10:10">
      <c r="J2325" s="7"/>
    </row>
    <row r="2326" spans="10:10">
      <c r="J2326" s="7"/>
    </row>
    <row r="2327" spans="10:10">
      <c r="J2327" s="7"/>
    </row>
    <row r="2328" spans="10:10">
      <c r="J2328" s="7"/>
    </row>
    <row r="2329" spans="10:10">
      <c r="J2329" s="7"/>
    </row>
    <row r="2330" spans="10:10">
      <c r="J2330" s="7"/>
    </row>
    <row r="2331" spans="10:10">
      <c r="J2331" s="7"/>
    </row>
    <row r="2332" spans="10:10">
      <c r="J2332" s="7"/>
    </row>
    <row r="2333" spans="10:10">
      <c r="J2333" s="7"/>
    </row>
    <row r="2334" spans="10:10">
      <c r="J2334" s="7"/>
    </row>
    <row r="2335" spans="10:10">
      <c r="J2335" s="7"/>
    </row>
    <row r="2336" spans="10:10">
      <c r="J2336" s="7"/>
    </row>
    <row r="2337" spans="10:10">
      <c r="J2337" s="7"/>
    </row>
    <row r="2338" spans="10:10">
      <c r="J2338" s="7"/>
    </row>
    <row r="2339" spans="10:10">
      <c r="J2339" s="7"/>
    </row>
    <row r="2340" spans="10:10">
      <c r="J2340" s="7"/>
    </row>
    <row r="2341" spans="10:10">
      <c r="J2341" s="7"/>
    </row>
    <row r="2342" spans="10:10">
      <c r="J2342" s="7"/>
    </row>
    <row r="2343" spans="10:10">
      <c r="J2343" s="7"/>
    </row>
    <row r="2344" spans="10:10">
      <c r="J2344" s="7"/>
    </row>
    <row r="2345" spans="10:10">
      <c r="J2345" s="7"/>
    </row>
    <row r="2346" spans="10:10">
      <c r="J2346" s="7"/>
    </row>
    <row r="2347" spans="10:10">
      <c r="J2347" s="7"/>
    </row>
    <row r="2348" spans="10:10">
      <c r="J2348" s="7"/>
    </row>
    <row r="2349" spans="10:10">
      <c r="J2349" s="7"/>
    </row>
    <row r="2350" spans="10:10">
      <c r="J2350" s="7"/>
    </row>
    <row r="2351" spans="10:10">
      <c r="J2351" s="7"/>
    </row>
    <row r="2352" spans="10:10">
      <c r="J2352" s="7"/>
    </row>
    <row r="2353" spans="10:10">
      <c r="J2353" s="7"/>
    </row>
    <row r="2354" spans="10:10">
      <c r="J2354" s="7"/>
    </row>
    <row r="2355" spans="10:10">
      <c r="J2355" s="7"/>
    </row>
    <row r="2356" spans="10:10">
      <c r="J2356" s="7"/>
    </row>
    <row r="2357" spans="10:10">
      <c r="J2357" s="7"/>
    </row>
    <row r="2358" spans="10:10">
      <c r="J2358" s="7"/>
    </row>
    <row r="2359" spans="10:10">
      <c r="J2359" s="7"/>
    </row>
    <row r="2360" spans="10:10">
      <c r="J2360" s="7"/>
    </row>
    <row r="2361" spans="10:10">
      <c r="J2361" s="7"/>
    </row>
    <row r="2362" spans="10:10">
      <c r="J2362" s="7"/>
    </row>
    <row r="2363" spans="10:10">
      <c r="J2363" s="7"/>
    </row>
    <row r="2364" spans="10:10">
      <c r="J2364" s="7"/>
    </row>
    <row r="2365" spans="10:10">
      <c r="J2365" s="7"/>
    </row>
    <row r="2366" spans="10:10">
      <c r="J2366" s="7"/>
    </row>
    <row r="2367" spans="10:10">
      <c r="J2367" s="7"/>
    </row>
    <row r="2368" spans="10:10">
      <c r="J2368" s="7"/>
    </row>
    <row r="2369" spans="10:10">
      <c r="J2369" s="7"/>
    </row>
    <row r="2370" spans="10:10">
      <c r="J2370" s="7"/>
    </row>
    <row r="2371" spans="10:10">
      <c r="J2371" s="7"/>
    </row>
    <row r="2372" spans="10:10">
      <c r="J2372" s="7"/>
    </row>
    <row r="2373" spans="10:10">
      <c r="J2373" s="7"/>
    </row>
    <row r="2374" spans="10:10">
      <c r="J2374" s="7"/>
    </row>
    <row r="2375" spans="10:10">
      <c r="J2375" s="7"/>
    </row>
    <row r="2376" spans="10:10">
      <c r="J2376" s="7"/>
    </row>
    <row r="2377" spans="10:10">
      <c r="J2377" s="7"/>
    </row>
    <row r="2378" spans="10:10">
      <c r="J2378" s="7"/>
    </row>
    <row r="2379" spans="10:10">
      <c r="J2379" s="7"/>
    </row>
    <row r="2380" spans="10:10">
      <c r="J2380" s="7"/>
    </row>
    <row r="2381" spans="10:10">
      <c r="J2381" s="7"/>
    </row>
    <row r="2382" spans="10:10">
      <c r="J2382" s="7"/>
    </row>
    <row r="2383" spans="10:10">
      <c r="J2383" s="7"/>
    </row>
    <row r="2384" spans="10:10">
      <c r="J2384" s="7"/>
    </row>
    <row r="2385" spans="10:10">
      <c r="J2385" s="7"/>
    </row>
    <row r="2386" spans="10:10">
      <c r="J2386" s="7"/>
    </row>
    <row r="2387" spans="10:10">
      <c r="J2387" s="7"/>
    </row>
    <row r="2388" spans="10:10">
      <c r="J2388" s="7"/>
    </row>
    <row r="2389" spans="10:10">
      <c r="J2389" s="7"/>
    </row>
    <row r="2390" spans="10:10">
      <c r="J2390" s="7"/>
    </row>
    <row r="2391" spans="10:10">
      <c r="J2391" s="7"/>
    </row>
    <row r="2392" spans="10:10">
      <c r="J2392" s="7"/>
    </row>
    <row r="2393" spans="10:10">
      <c r="J2393" s="7"/>
    </row>
    <row r="2394" spans="10:10">
      <c r="J2394" s="7"/>
    </row>
    <row r="2395" spans="10:10">
      <c r="J2395" s="7"/>
    </row>
    <row r="2396" spans="10:10">
      <c r="J2396" s="7"/>
    </row>
    <row r="2397" spans="10:10">
      <c r="J2397" s="7"/>
    </row>
    <row r="2398" spans="10:10">
      <c r="J2398" s="7"/>
    </row>
    <row r="2399" spans="10:10">
      <c r="J2399" s="7"/>
    </row>
    <row r="2400" spans="10:10">
      <c r="J2400" s="7"/>
    </row>
    <row r="2401" spans="10:10">
      <c r="J2401" s="7"/>
    </row>
    <row r="2402" spans="10:10">
      <c r="J2402" s="7"/>
    </row>
    <row r="2403" spans="10:10">
      <c r="J2403" s="7"/>
    </row>
    <row r="2404" spans="10:10">
      <c r="J2404" s="7"/>
    </row>
    <row r="2405" spans="10:10">
      <c r="J2405" s="7"/>
    </row>
    <row r="2406" spans="10:10">
      <c r="J2406" s="7"/>
    </row>
    <row r="2407" spans="10:10">
      <c r="J2407" s="7"/>
    </row>
    <row r="2408" spans="10:10">
      <c r="J2408" s="7"/>
    </row>
    <row r="2409" spans="10:10">
      <c r="J2409" s="7"/>
    </row>
    <row r="2410" spans="10:10">
      <c r="J2410" s="7"/>
    </row>
    <row r="2411" spans="10:10">
      <c r="J2411" s="7"/>
    </row>
    <row r="2412" spans="10:10">
      <c r="J2412" s="7"/>
    </row>
    <row r="2413" spans="10:10">
      <c r="J2413" s="7"/>
    </row>
    <row r="2414" spans="10:10">
      <c r="J2414" s="7"/>
    </row>
    <row r="2415" spans="10:10">
      <c r="J2415" s="7"/>
    </row>
    <row r="2416" spans="10:10">
      <c r="J2416" s="7"/>
    </row>
    <row r="2417" spans="10:10">
      <c r="J2417" s="7"/>
    </row>
    <row r="2418" spans="10:10">
      <c r="J2418" s="7"/>
    </row>
    <row r="2419" spans="10:10">
      <c r="J2419" s="7"/>
    </row>
    <row r="2420" spans="10:10">
      <c r="J2420" s="7"/>
    </row>
    <row r="2421" spans="10:10">
      <c r="J2421" s="7"/>
    </row>
    <row r="2422" spans="10:10">
      <c r="J2422" s="7"/>
    </row>
    <row r="2423" spans="10:10">
      <c r="J2423" s="7"/>
    </row>
    <row r="2424" spans="10:10">
      <c r="J2424" s="7"/>
    </row>
    <row r="2425" spans="10:10">
      <c r="J2425" s="7"/>
    </row>
    <row r="2426" spans="10:10">
      <c r="J2426" s="7"/>
    </row>
    <row r="2427" spans="10:10">
      <c r="J2427" s="7"/>
    </row>
    <row r="2428" spans="10:10">
      <c r="J2428" s="7"/>
    </row>
    <row r="2429" spans="10:10">
      <c r="J2429" s="7"/>
    </row>
    <row r="2430" spans="10:10">
      <c r="J2430" s="7"/>
    </row>
    <row r="2431" spans="10:10">
      <c r="J2431" s="7"/>
    </row>
    <row r="2432" spans="10:10">
      <c r="J2432" s="7"/>
    </row>
    <row r="2433" spans="10:10">
      <c r="J2433" s="7"/>
    </row>
    <row r="2434" spans="10:10">
      <c r="J2434" s="7"/>
    </row>
    <row r="2435" spans="10:10">
      <c r="J2435" s="7"/>
    </row>
    <row r="2436" spans="10:10">
      <c r="J2436" s="7"/>
    </row>
    <row r="2437" spans="10:10">
      <c r="J2437" s="7"/>
    </row>
    <row r="2438" spans="10:10">
      <c r="J2438" s="7"/>
    </row>
    <row r="2439" spans="10:10">
      <c r="J2439" s="7"/>
    </row>
    <row r="2440" spans="10:10">
      <c r="J2440" s="7"/>
    </row>
    <row r="2441" spans="10:10">
      <c r="J2441" s="7"/>
    </row>
    <row r="2442" spans="10:10">
      <c r="J2442" s="7"/>
    </row>
    <row r="2443" spans="10:10">
      <c r="J2443" s="7"/>
    </row>
    <row r="2444" spans="10:10">
      <c r="J2444" s="7"/>
    </row>
    <row r="2445" spans="10:10">
      <c r="J2445" s="7"/>
    </row>
    <row r="2446" spans="10:10">
      <c r="J2446" s="7"/>
    </row>
    <row r="2447" spans="10:10">
      <c r="J2447" s="7"/>
    </row>
    <row r="2448" spans="10:10">
      <c r="J2448" s="7"/>
    </row>
    <row r="2449" spans="10:10">
      <c r="J2449" s="7"/>
    </row>
    <row r="2450" spans="10:10">
      <c r="J2450" s="7"/>
    </row>
    <row r="2451" spans="10:10">
      <c r="J2451" s="7"/>
    </row>
    <row r="2452" spans="10:10">
      <c r="J2452" s="7"/>
    </row>
    <row r="2453" spans="10:10">
      <c r="J2453" s="7"/>
    </row>
    <row r="2454" spans="10:10">
      <c r="J2454" s="7"/>
    </row>
    <row r="2455" spans="10:10">
      <c r="J2455" s="7"/>
    </row>
    <row r="2456" spans="10:10">
      <c r="J2456" s="7"/>
    </row>
    <row r="2457" spans="10:10">
      <c r="J2457" s="7"/>
    </row>
    <row r="2458" spans="10:10">
      <c r="J2458" s="7"/>
    </row>
    <row r="2459" spans="10:10">
      <c r="J2459" s="7"/>
    </row>
    <row r="2460" spans="10:10">
      <c r="J2460" s="7"/>
    </row>
    <row r="2461" spans="10:10">
      <c r="J2461" s="7"/>
    </row>
    <row r="2462" spans="10:10">
      <c r="J2462" s="7"/>
    </row>
    <row r="2463" spans="10:10">
      <c r="J2463" s="7"/>
    </row>
    <row r="2464" spans="10:10">
      <c r="J2464" s="7"/>
    </row>
    <row r="2465" spans="10:10">
      <c r="J2465" s="7"/>
    </row>
    <row r="2466" spans="10:10">
      <c r="J2466" s="7"/>
    </row>
    <row r="2467" spans="10:10">
      <c r="J2467" s="7"/>
    </row>
    <row r="2468" spans="10:10">
      <c r="J2468" s="7"/>
    </row>
    <row r="2469" spans="10:10">
      <c r="J2469" s="7"/>
    </row>
    <row r="2470" spans="10:10">
      <c r="J2470" s="7"/>
    </row>
    <row r="2471" spans="10:10">
      <c r="J2471" s="7"/>
    </row>
    <row r="2472" spans="10:10">
      <c r="J2472" s="7"/>
    </row>
    <row r="2473" spans="10:10">
      <c r="J2473" s="7"/>
    </row>
    <row r="2474" spans="10:10">
      <c r="J2474" s="7"/>
    </row>
    <row r="2475" spans="10:10">
      <c r="J2475" s="7"/>
    </row>
    <row r="2476" spans="10:10">
      <c r="J2476" s="7"/>
    </row>
    <row r="2477" spans="10:10">
      <c r="J2477" s="7"/>
    </row>
    <row r="2478" spans="10:10">
      <c r="J2478" s="7"/>
    </row>
    <row r="2479" spans="10:10">
      <c r="J2479" s="7"/>
    </row>
    <row r="2480" spans="10:10">
      <c r="J2480" s="7"/>
    </row>
    <row r="2481" spans="10:10">
      <c r="J2481" s="7"/>
    </row>
    <row r="2482" spans="10:10">
      <c r="J2482" s="7"/>
    </row>
    <row r="2483" spans="10:10">
      <c r="J2483" s="7"/>
    </row>
    <row r="2484" spans="10:10">
      <c r="J2484" s="7"/>
    </row>
    <row r="2485" spans="10:10">
      <c r="J2485" s="7"/>
    </row>
    <row r="2486" spans="10:10">
      <c r="J2486" s="7"/>
    </row>
    <row r="2487" spans="10:10">
      <c r="J2487" s="7"/>
    </row>
    <row r="2488" spans="10:10">
      <c r="J2488" s="7"/>
    </row>
    <row r="2489" spans="10:10">
      <c r="J2489" s="7"/>
    </row>
    <row r="2490" spans="10:10">
      <c r="J2490" s="7"/>
    </row>
    <row r="2491" spans="10:10">
      <c r="J2491" s="7"/>
    </row>
    <row r="2492" spans="10:10">
      <c r="J2492" s="7"/>
    </row>
    <row r="2493" spans="10:10">
      <c r="J2493" s="7"/>
    </row>
    <row r="2494" spans="10:10">
      <c r="J2494" s="7"/>
    </row>
    <row r="2495" spans="10:10">
      <c r="J2495" s="7"/>
    </row>
    <row r="2496" spans="10:10">
      <c r="J2496" s="7"/>
    </row>
    <row r="2497" spans="10:10">
      <c r="J2497" s="7"/>
    </row>
    <row r="2498" spans="10:10">
      <c r="J2498" s="7"/>
    </row>
    <row r="2499" spans="10:10">
      <c r="J2499" s="7"/>
    </row>
    <row r="2500" spans="10:10">
      <c r="J2500" s="7"/>
    </row>
    <row r="2501" spans="10:10">
      <c r="J2501" s="7"/>
    </row>
    <row r="2502" spans="10:10">
      <c r="J2502" s="7"/>
    </row>
    <row r="2503" spans="10:10">
      <c r="J2503" s="7"/>
    </row>
    <row r="2504" spans="10:10">
      <c r="J2504" s="7"/>
    </row>
    <row r="2505" spans="10:10">
      <c r="J2505" s="7"/>
    </row>
    <row r="2506" spans="10:10">
      <c r="J2506" s="7"/>
    </row>
    <row r="2507" spans="10:10">
      <c r="J2507" s="7"/>
    </row>
    <row r="2508" spans="10:10">
      <c r="J2508" s="7"/>
    </row>
    <row r="2509" spans="10:10">
      <c r="J2509" s="7"/>
    </row>
    <row r="2510" spans="10:10">
      <c r="J2510" s="7"/>
    </row>
    <row r="2511" spans="10:10">
      <c r="J2511" s="7"/>
    </row>
    <row r="2512" spans="10:10">
      <c r="J2512" s="7"/>
    </row>
    <row r="2513" spans="10:10">
      <c r="J2513" s="7"/>
    </row>
    <row r="2514" spans="10:10">
      <c r="J2514" s="7"/>
    </row>
    <row r="2515" spans="10:10">
      <c r="J2515" s="7"/>
    </row>
    <row r="2516" spans="10:10">
      <c r="J2516" s="7"/>
    </row>
    <row r="2517" spans="10:10">
      <c r="J2517" s="7"/>
    </row>
    <row r="2518" spans="10:10">
      <c r="J2518" s="7"/>
    </row>
    <row r="2519" spans="10:10">
      <c r="J2519" s="7"/>
    </row>
    <row r="2520" spans="10:10">
      <c r="J2520" s="7"/>
    </row>
    <row r="2521" spans="10:10">
      <c r="J2521" s="7"/>
    </row>
    <row r="2522" spans="10:10">
      <c r="J2522" s="7"/>
    </row>
    <row r="2523" spans="10:10">
      <c r="J2523" s="7"/>
    </row>
    <row r="2524" spans="10:10">
      <c r="J2524" s="7"/>
    </row>
    <row r="2525" spans="10:10">
      <c r="J2525" s="7"/>
    </row>
    <row r="2526" spans="10:10">
      <c r="J2526" s="7"/>
    </row>
    <row r="2527" spans="10:10">
      <c r="J2527" s="7"/>
    </row>
    <row r="2528" spans="10:10">
      <c r="J2528" s="7"/>
    </row>
    <row r="2529" spans="10:10">
      <c r="J2529" s="7"/>
    </row>
    <row r="2530" spans="10:10">
      <c r="J2530" s="7"/>
    </row>
    <row r="2531" spans="10:10">
      <c r="J2531" s="7"/>
    </row>
    <row r="2532" spans="10:10">
      <c r="J2532" s="7"/>
    </row>
    <row r="2533" spans="10:10">
      <c r="J2533" s="7"/>
    </row>
    <row r="2534" spans="10:10">
      <c r="J2534" s="7"/>
    </row>
    <row r="2535" spans="10:10">
      <c r="J2535" s="7"/>
    </row>
    <row r="2536" spans="10:10">
      <c r="J2536" s="7"/>
    </row>
    <row r="2537" spans="10:10">
      <c r="J2537" s="7"/>
    </row>
    <row r="2538" spans="10:10">
      <c r="J2538" s="7"/>
    </row>
    <row r="2539" spans="10:10">
      <c r="J2539" s="7"/>
    </row>
    <row r="2540" spans="10:10">
      <c r="J2540" s="7"/>
    </row>
    <row r="2541" spans="10:10">
      <c r="J2541" s="7"/>
    </row>
    <row r="2542" spans="10:10">
      <c r="J2542" s="7"/>
    </row>
    <row r="2543" spans="10:10">
      <c r="J2543" s="7"/>
    </row>
    <row r="2544" spans="10:10">
      <c r="J2544" s="7"/>
    </row>
    <row r="2545" spans="10:10">
      <c r="J2545" s="7"/>
    </row>
    <row r="2546" spans="10:10">
      <c r="J2546" s="7"/>
    </row>
    <row r="2547" spans="10:10">
      <c r="J2547" s="7"/>
    </row>
    <row r="2548" spans="10:10">
      <c r="J2548" s="7"/>
    </row>
    <row r="2549" spans="10:10">
      <c r="J2549" s="7"/>
    </row>
    <row r="2550" spans="10:10">
      <c r="J2550" s="7"/>
    </row>
    <row r="2551" spans="10:10">
      <c r="J2551" s="7"/>
    </row>
    <row r="2552" spans="10:10">
      <c r="J2552" s="7"/>
    </row>
    <row r="2553" spans="10:10">
      <c r="J2553" s="7"/>
    </row>
    <row r="2554" spans="10:10">
      <c r="J2554" s="7"/>
    </row>
    <row r="2555" spans="10:10">
      <c r="J2555" s="7"/>
    </row>
    <row r="2556" spans="10:10">
      <c r="J2556" s="7"/>
    </row>
    <row r="2557" spans="10:10">
      <c r="J2557" s="7"/>
    </row>
    <row r="2558" spans="10:10">
      <c r="J2558" s="7"/>
    </row>
    <row r="2559" spans="10:10">
      <c r="J2559" s="7"/>
    </row>
    <row r="2560" spans="10:10">
      <c r="J2560" s="7"/>
    </row>
    <row r="2561" spans="10:10">
      <c r="J2561" s="7"/>
    </row>
    <row r="2562" spans="10:10">
      <c r="J2562" s="7"/>
    </row>
    <row r="2563" spans="10:10">
      <c r="J2563" s="7"/>
    </row>
    <row r="2564" spans="10:10">
      <c r="J2564" s="7"/>
    </row>
    <row r="2565" spans="10:10">
      <c r="J2565" s="7"/>
    </row>
    <row r="2566" spans="10:10">
      <c r="J2566" s="7"/>
    </row>
    <row r="2567" spans="10:10">
      <c r="J2567" s="7"/>
    </row>
    <row r="2568" spans="10:10">
      <c r="J2568" s="7"/>
    </row>
    <row r="2569" spans="10:10">
      <c r="J2569" s="7"/>
    </row>
    <row r="2570" spans="10:10">
      <c r="J2570" s="7"/>
    </row>
    <row r="2571" spans="10:10">
      <c r="J2571" s="7"/>
    </row>
    <row r="2572" spans="10:10">
      <c r="J2572" s="7"/>
    </row>
    <row r="2573" spans="10:10">
      <c r="J2573" s="7"/>
    </row>
    <row r="2574" spans="10:10">
      <c r="J2574" s="7"/>
    </row>
    <row r="2575" spans="10:10">
      <c r="J2575" s="7"/>
    </row>
    <row r="2576" spans="10:10">
      <c r="J2576" s="7"/>
    </row>
    <row r="2577" spans="10:10">
      <c r="J2577" s="7"/>
    </row>
    <row r="2578" spans="10:10">
      <c r="J2578" s="7"/>
    </row>
    <row r="2579" spans="10:10">
      <c r="J2579" s="7"/>
    </row>
    <row r="2580" spans="10:10">
      <c r="J2580" s="7"/>
    </row>
    <row r="2581" spans="10:10">
      <c r="J2581" s="7"/>
    </row>
    <row r="2582" spans="10:10">
      <c r="J2582" s="7"/>
    </row>
    <row r="2583" spans="10:10">
      <c r="J2583" s="7"/>
    </row>
    <row r="2584" spans="10:10">
      <c r="J2584" s="7"/>
    </row>
    <row r="2585" spans="10:10">
      <c r="J2585" s="7"/>
    </row>
    <row r="2586" spans="10:10">
      <c r="J2586" s="7"/>
    </row>
    <row r="2587" spans="10:10">
      <c r="J2587" s="7"/>
    </row>
    <row r="2588" spans="10:10">
      <c r="J2588" s="7"/>
    </row>
    <row r="2589" spans="10:10">
      <c r="J2589" s="7"/>
    </row>
    <row r="2590" spans="10:10">
      <c r="J2590" s="7"/>
    </row>
    <row r="2591" spans="10:10">
      <c r="J2591" s="7"/>
    </row>
    <row r="2592" spans="10:10">
      <c r="J2592" s="7"/>
    </row>
    <row r="2593" spans="10:10">
      <c r="J2593" s="7"/>
    </row>
    <row r="2594" spans="10:10">
      <c r="J2594" s="7"/>
    </row>
    <row r="2595" spans="10:10">
      <c r="J2595" s="7"/>
    </row>
    <row r="2596" spans="10:10">
      <c r="J2596" s="7"/>
    </row>
    <row r="2597" spans="10:10">
      <c r="J2597" s="7"/>
    </row>
    <row r="2598" spans="10:10">
      <c r="J2598" s="7"/>
    </row>
    <row r="2599" spans="10:10">
      <c r="J2599" s="7"/>
    </row>
    <row r="2600" spans="10:10">
      <c r="J2600" s="7"/>
    </row>
    <row r="2601" spans="10:10">
      <c r="J2601" s="7"/>
    </row>
    <row r="2602" spans="10:10">
      <c r="J2602" s="7"/>
    </row>
    <row r="2603" spans="10:10">
      <c r="J2603" s="7"/>
    </row>
    <row r="2604" spans="10:10">
      <c r="J2604" s="7"/>
    </row>
    <row r="2605" spans="10:10">
      <c r="J2605" s="7"/>
    </row>
    <row r="2606" spans="10:10">
      <c r="J2606" s="7"/>
    </row>
    <row r="2607" spans="10:10">
      <c r="J2607" s="7"/>
    </row>
    <row r="2608" spans="10:10">
      <c r="J2608" s="7"/>
    </row>
    <row r="2609" spans="10:10">
      <c r="J2609" s="7"/>
    </row>
    <row r="2610" spans="10:10">
      <c r="J2610" s="7"/>
    </row>
    <row r="2611" spans="10:10">
      <c r="J2611" s="7"/>
    </row>
    <row r="2612" spans="10:10">
      <c r="J2612" s="7"/>
    </row>
    <row r="2613" spans="10:10">
      <c r="J2613" s="7"/>
    </row>
    <row r="2614" spans="10:10">
      <c r="J2614" s="7"/>
    </row>
    <row r="2615" spans="10:10">
      <c r="J2615" s="7"/>
    </row>
    <row r="2616" spans="10:10">
      <c r="J2616" s="7"/>
    </row>
    <row r="2617" spans="10:10">
      <c r="J2617" s="7"/>
    </row>
    <row r="2618" spans="10:10">
      <c r="J2618" s="7"/>
    </row>
    <row r="2619" spans="10:10">
      <c r="J2619" s="7"/>
    </row>
    <row r="2620" spans="10:10">
      <c r="J2620" s="7"/>
    </row>
    <row r="2621" spans="10:10">
      <c r="J2621" s="7"/>
    </row>
    <row r="2622" spans="10:10">
      <c r="J2622" s="7"/>
    </row>
    <row r="2623" spans="10:10">
      <c r="J2623" s="7"/>
    </row>
    <row r="2624" spans="10:10">
      <c r="J2624" s="7"/>
    </row>
    <row r="2625" spans="10:10">
      <c r="J2625" s="7"/>
    </row>
    <row r="2626" spans="10:10">
      <c r="J2626" s="7"/>
    </row>
    <row r="2627" spans="10:10">
      <c r="J2627" s="7"/>
    </row>
    <row r="2628" spans="10:10">
      <c r="J2628" s="7"/>
    </row>
    <row r="2629" spans="10:10">
      <c r="J2629" s="7"/>
    </row>
    <row r="2630" spans="10:10">
      <c r="J2630" s="7"/>
    </row>
    <row r="2631" spans="10:10">
      <c r="J2631" s="7"/>
    </row>
    <row r="2632" spans="10:10">
      <c r="J2632" s="7"/>
    </row>
    <row r="2633" spans="10:10">
      <c r="J2633" s="7"/>
    </row>
    <row r="2634" spans="10:10">
      <c r="J2634" s="7"/>
    </row>
    <row r="2635" spans="10:10">
      <c r="J2635" s="7"/>
    </row>
    <row r="2636" spans="10:10">
      <c r="J2636" s="7"/>
    </row>
    <row r="2637" spans="10:10">
      <c r="J2637" s="7"/>
    </row>
    <row r="2638" spans="10:10">
      <c r="J2638" s="7"/>
    </row>
    <row r="2639" spans="10:10">
      <c r="J2639" s="7"/>
    </row>
    <row r="2640" spans="10:10">
      <c r="J2640" s="7"/>
    </row>
    <row r="2641" spans="10:10">
      <c r="J2641" s="7"/>
    </row>
    <row r="2642" spans="10:10">
      <c r="J2642" s="7"/>
    </row>
    <row r="2643" spans="10:10">
      <c r="J2643" s="7"/>
    </row>
    <row r="2644" spans="10:10">
      <c r="J2644" s="7"/>
    </row>
    <row r="2645" spans="10:10">
      <c r="J2645" s="7"/>
    </row>
    <row r="2646" spans="10:10">
      <c r="J2646" s="7"/>
    </row>
    <row r="2647" spans="10:10">
      <c r="J2647" s="7"/>
    </row>
    <row r="2648" spans="10:10">
      <c r="J2648" s="7"/>
    </row>
    <row r="2649" spans="10:10">
      <c r="J2649" s="7"/>
    </row>
    <row r="2650" spans="10:10">
      <c r="J2650" s="7"/>
    </row>
    <row r="2651" spans="10:10">
      <c r="J2651" s="7"/>
    </row>
    <row r="2652" spans="10:10">
      <c r="J2652" s="7"/>
    </row>
    <row r="2653" spans="10:10">
      <c r="J2653" s="7"/>
    </row>
    <row r="2654" spans="10:10">
      <c r="J2654" s="7"/>
    </row>
    <row r="2655" spans="10:10">
      <c r="J2655" s="7"/>
    </row>
    <row r="2656" spans="10:10">
      <c r="J2656" s="7"/>
    </row>
    <row r="2657" spans="10:10">
      <c r="J2657" s="7"/>
    </row>
    <row r="2658" spans="10:10">
      <c r="J2658" s="7"/>
    </row>
    <row r="2659" spans="10:10">
      <c r="J2659" s="7"/>
    </row>
    <row r="2660" spans="10:10">
      <c r="J2660" s="7"/>
    </row>
    <row r="2661" spans="10:10">
      <c r="J2661" s="7"/>
    </row>
    <row r="2662" spans="10:10">
      <c r="J2662" s="7"/>
    </row>
    <row r="2663" spans="10:10">
      <c r="J2663" s="7"/>
    </row>
    <row r="2664" spans="10:10">
      <c r="J2664" s="7"/>
    </row>
    <row r="2665" spans="10:10">
      <c r="J2665" s="7"/>
    </row>
    <row r="2666" spans="10:10">
      <c r="J2666" s="7"/>
    </row>
    <row r="2667" spans="10:10">
      <c r="J2667" s="7"/>
    </row>
    <row r="2668" spans="10:10">
      <c r="J2668" s="7"/>
    </row>
    <row r="2669" spans="10:10">
      <c r="J2669" s="7"/>
    </row>
    <row r="2670" spans="10:10">
      <c r="J2670" s="7"/>
    </row>
    <row r="2671" spans="10:10">
      <c r="J2671" s="7"/>
    </row>
    <row r="2672" spans="10:10">
      <c r="J2672" s="7"/>
    </row>
    <row r="2673" spans="10:10">
      <c r="J2673" s="7"/>
    </row>
    <row r="2674" spans="10:10">
      <c r="J2674" s="7"/>
    </row>
    <row r="2675" spans="10:10">
      <c r="J2675" s="7"/>
    </row>
    <row r="2676" spans="10:10">
      <c r="J2676" s="7"/>
    </row>
    <row r="2677" spans="10:10">
      <c r="J2677" s="7"/>
    </row>
    <row r="2678" spans="10:10">
      <c r="J2678" s="7"/>
    </row>
    <row r="2679" spans="10:10">
      <c r="J2679" s="7"/>
    </row>
    <row r="2680" spans="10:10">
      <c r="J2680" s="7"/>
    </row>
    <row r="2681" spans="10:10">
      <c r="J2681" s="7"/>
    </row>
    <row r="2682" spans="10:10">
      <c r="J2682" s="7"/>
    </row>
    <row r="2683" spans="10:10">
      <c r="J2683" s="7"/>
    </row>
    <row r="2684" spans="10:10">
      <c r="J2684" s="7"/>
    </row>
    <row r="2685" spans="10:10">
      <c r="J2685" s="7"/>
    </row>
    <row r="2686" spans="10:10">
      <c r="J2686" s="7"/>
    </row>
    <row r="2687" spans="10:10">
      <c r="J2687" s="7"/>
    </row>
    <row r="2688" spans="10:10">
      <c r="J2688" s="7"/>
    </row>
    <row r="2689" spans="10:10">
      <c r="J2689" s="7"/>
    </row>
    <row r="2690" spans="10:10">
      <c r="J2690" s="7"/>
    </row>
    <row r="2691" spans="10:10">
      <c r="J2691" s="7"/>
    </row>
    <row r="2692" spans="10:10">
      <c r="J2692" s="7"/>
    </row>
    <row r="2693" spans="10:10">
      <c r="J2693" s="7"/>
    </row>
    <row r="2694" spans="10:10">
      <c r="J2694" s="7"/>
    </row>
    <row r="2695" spans="10:10">
      <c r="J2695" s="7"/>
    </row>
    <row r="2696" spans="10:10">
      <c r="J2696" s="7"/>
    </row>
    <row r="2697" spans="10:10">
      <c r="J2697" s="7"/>
    </row>
    <row r="2698" spans="10:10">
      <c r="J2698" s="7"/>
    </row>
    <row r="2699" spans="10:10">
      <c r="J2699" s="7"/>
    </row>
    <row r="2700" spans="10:10">
      <c r="J2700" s="7"/>
    </row>
    <row r="2701" spans="10:10">
      <c r="J2701" s="7"/>
    </row>
    <row r="2702" spans="10:10">
      <c r="J2702" s="7"/>
    </row>
    <row r="2703" spans="10:10">
      <c r="J2703" s="7"/>
    </row>
    <row r="2704" spans="10:10">
      <c r="J2704" s="7"/>
    </row>
    <row r="2705" spans="10:10">
      <c r="J2705" s="7"/>
    </row>
    <row r="2706" spans="10:10">
      <c r="J2706" s="7"/>
    </row>
    <row r="2707" spans="10:10">
      <c r="J2707" s="7"/>
    </row>
    <row r="2708" spans="10:10">
      <c r="J2708" s="7"/>
    </row>
    <row r="2709" spans="10:10">
      <c r="J2709" s="7"/>
    </row>
    <row r="2710" spans="10:10">
      <c r="J2710" s="7"/>
    </row>
    <row r="2711" spans="10:10">
      <c r="J2711" s="7"/>
    </row>
    <row r="2712" spans="10:10">
      <c r="J2712" s="7"/>
    </row>
    <row r="2713" spans="10:10">
      <c r="J2713" s="7"/>
    </row>
    <row r="2714" spans="10:10">
      <c r="J2714" s="7"/>
    </row>
    <row r="2715" spans="10:10">
      <c r="J2715" s="7"/>
    </row>
    <row r="2716" spans="10:10">
      <c r="J2716" s="7"/>
    </row>
    <row r="2717" spans="10:10">
      <c r="J2717" s="7"/>
    </row>
    <row r="2718" spans="10:10">
      <c r="J2718" s="7"/>
    </row>
    <row r="2719" spans="10:10">
      <c r="J2719" s="7"/>
    </row>
    <row r="2720" spans="10:10">
      <c r="J2720" s="7"/>
    </row>
    <row r="2721" spans="10:10">
      <c r="J2721" s="7"/>
    </row>
    <row r="2722" spans="10:10">
      <c r="J2722" s="7"/>
    </row>
    <row r="2723" spans="10:10">
      <c r="J2723" s="7"/>
    </row>
    <row r="2724" spans="10:10">
      <c r="J2724" s="7"/>
    </row>
    <row r="2725" spans="10:10">
      <c r="J2725" s="7"/>
    </row>
    <row r="2726" spans="10:10">
      <c r="J2726" s="7"/>
    </row>
    <row r="2727" spans="10:10">
      <c r="J2727" s="7"/>
    </row>
    <row r="2728" spans="10:10">
      <c r="J2728" s="7"/>
    </row>
    <row r="2729" spans="10:10">
      <c r="J2729" s="7"/>
    </row>
    <row r="2730" spans="10:10">
      <c r="J2730" s="7"/>
    </row>
    <row r="2731" spans="10:10">
      <c r="J2731" s="7"/>
    </row>
    <row r="2732" spans="10:10">
      <c r="J2732" s="7"/>
    </row>
    <row r="2733" spans="10:10">
      <c r="J2733" s="7"/>
    </row>
    <row r="2734" spans="10:10">
      <c r="J2734" s="7"/>
    </row>
    <row r="2735" spans="10:10">
      <c r="J2735" s="7"/>
    </row>
    <row r="2736" spans="10:10">
      <c r="J2736" s="7"/>
    </row>
    <row r="2737" spans="10:10">
      <c r="J2737" s="7"/>
    </row>
    <row r="2738" spans="10:10">
      <c r="J2738" s="7"/>
    </row>
    <row r="2739" spans="10:10">
      <c r="J2739" s="7"/>
    </row>
    <row r="2740" spans="10:10">
      <c r="J2740" s="7"/>
    </row>
    <row r="2741" spans="10:10">
      <c r="J2741" s="7"/>
    </row>
    <row r="2742" spans="10:10">
      <c r="J2742" s="7"/>
    </row>
    <row r="2743" spans="10:10">
      <c r="J2743" s="7"/>
    </row>
    <row r="2744" spans="10:10">
      <c r="J2744" s="7"/>
    </row>
    <row r="2745" spans="10:10">
      <c r="J2745" s="7"/>
    </row>
    <row r="2746" spans="10:10">
      <c r="J2746" s="7"/>
    </row>
    <row r="2747" spans="10:10">
      <c r="J2747" s="7"/>
    </row>
    <row r="2748" spans="10:10">
      <c r="J2748" s="7"/>
    </row>
    <row r="2749" spans="10:10">
      <c r="J2749" s="7"/>
    </row>
    <row r="2750" spans="10:10">
      <c r="J2750" s="7"/>
    </row>
    <row r="2751" spans="10:10">
      <c r="J2751" s="7"/>
    </row>
    <row r="2752" spans="10:10">
      <c r="J2752" s="7"/>
    </row>
    <row r="2753" spans="10:10">
      <c r="J2753" s="7"/>
    </row>
    <row r="2754" spans="10:10">
      <c r="J2754" s="7"/>
    </row>
    <row r="2755" spans="10:10">
      <c r="J2755" s="7"/>
    </row>
    <row r="2756" spans="10:10">
      <c r="J2756" s="7"/>
    </row>
    <row r="2757" spans="10:10">
      <c r="J2757" s="7"/>
    </row>
    <row r="2758" spans="10:10">
      <c r="J2758" s="7"/>
    </row>
    <row r="2759" spans="10:10">
      <c r="J2759" s="7"/>
    </row>
    <row r="2760" spans="10:10">
      <c r="J2760" s="7"/>
    </row>
    <row r="2761" spans="10:10">
      <c r="J2761" s="7"/>
    </row>
    <row r="2762" spans="10:10">
      <c r="J2762" s="7"/>
    </row>
    <row r="2763" spans="10:10">
      <c r="J2763" s="7"/>
    </row>
    <row r="2764" spans="10:10">
      <c r="J2764" s="7"/>
    </row>
    <row r="2765" spans="10:10">
      <c r="J2765" s="7"/>
    </row>
    <row r="2766" spans="10:10">
      <c r="J2766" s="7"/>
    </row>
    <row r="2767" spans="10:10">
      <c r="J2767" s="7"/>
    </row>
    <row r="2768" spans="10:10">
      <c r="J2768" s="7"/>
    </row>
    <row r="2769" spans="10:10">
      <c r="J2769" s="7"/>
    </row>
    <row r="2770" spans="10:10">
      <c r="J2770" s="7"/>
    </row>
    <row r="2771" spans="10:10">
      <c r="J2771" s="7"/>
    </row>
    <row r="2772" spans="10:10">
      <c r="J2772" s="7"/>
    </row>
    <row r="2773" spans="10:10">
      <c r="J2773" s="7"/>
    </row>
    <row r="2774" spans="10:10">
      <c r="J2774" s="7"/>
    </row>
    <row r="2775" spans="10:10">
      <c r="J2775" s="7"/>
    </row>
    <row r="2776" spans="10:10">
      <c r="J2776" s="7"/>
    </row>
    <row r="2777" spans="10:10">
      <c r="J2777" s="7"/>
    </row>
    <row r="2778" spans="10:10">
      <c r="J2778" s="7"/>
    </row>
    <row r="2779" spans="10:10">
      <c r="J2779" s="7"/>
    </row>
    <row r="2780" spans="10:10">
      <c r="J2780" s="7"/>
    </row>
    <row r="2781" spans="10:10">
      <c r="J2781" s="7"/>
    </row>
    <row r="2782" spans="10:10">
      <c r="J2782" s="7"/>
    </row>
    <row r="2783" spans="10:10">
      <c r="J2783" s="7"/>
    </row>
    <row r="2784" spans="10:10">
      <c r="J2784" s="7"/>
    </row>
    <row r="2785" spans="10:10">
      <c r="J2785" s="7"/>
    </row>
    <row r="2786" spans="10:10">
      <c r="J2786" s="7"/>
    </row>
    <row r="2787" spans="10:10">
      <c r="J2787" s="7"/>
    </row>
    <row r="2788" spans="10:10">
      <c r="J2788" s="7"/>
    </row>
    <row r="2789" spans="10:10">
      <c r="J2789" s="7"/>
    </row>
    <row r="2790" spans="10:10">
      <c r="J2790" s="7"/>
    </row>
    <row r="2791" spans="10:10">
      <c r="J2791" s="7"/>
    </row>
    <row r="2792" spans="10:10">
      <c r="J2792" s="7"/>
    </row>
    <row r="2793" spans="10:10">
      <c r="J2793" s="7"/>
    </row>
    <row r="2794" spans="10:10">
      <c r="J2794" s="7"/>
    </row>
    <row r="2795" spans="10:10">
      <c r="J2795" s="7"/>
    </row>
    <row r="2796" spans="10:10">
      <c r="J2796" s="7"/>
    </row>
    <row r="2797" spans="10:10">
      <c r="J2797" s="7"/>
    </row>
    <row r="2798" spans="10:10">
      <c r="J2798" s="7"/>
    </row>
    <row r="2799" spans="10:10">
      <c r="J2799" s="7"/>
    </row>
    <row r="2800" spans="10:10">
      <c r="J2800" s="7"/>
    </row>
    <row r="2801" spans="10:10">
      <c r="J2801" s="7"/>
    </row>
    <row r="2802" spans="10:10">
      <c r="J2802" s="7"/>
    </row>
    <row r="2803" spans="10:10">
      <c r="J2803" s="7"/>
    </row>
    <row r="2804" spans="10:10">
      <c r="J2804" s="7"/>
    </row>
    <row r="2805" spans="10:10">
      <c r="J2805" s="7"/>
    </row>
    <row r="2806" spans="10:10">
      <c r="J2806" s="7"/>
    </row>
    <row r="2807" spans="10:10">
      <c r="J2807" s="7"/>
    </row>
    <row r="2808" spans="10:10">
      <c r="J2808" s="7"/>
    </row>
    <row r="2809" spans="10:10">
      <c r="J2809" s="7"/>
    </row>
    <row r="2810" spans="10:10">
      <c r="J2810" s="7"/>
    </row>
    <row r="2811" spans="10:10">
      <c r="J2811" s="7"/>
    </row>
    <row r="2812" spans="10:10">
      <c r="J2812" s="7"/>
    </row>
    <row r="2813" spans="10:10">
      <c r="J2813" s="7"/>
    </row>
    <row r="2814" spans="10:10">
      <c r="J2814" s="7"/>
    </row>
    <row r="2815" spans="10:10">
      <c r="J2815" s="7"/>
    </row>
    <row r="2816" spans="10:10">
      <c r="J2816" s="7"/>
    </row>
    <row r="2817" spans="10:10">
      <c r="J2817" s="7"/>
    </row>
    <row r="2818" spans="10:10">
      <c r="J2818" s="7"/>
    </row>
    <row r="2819" spans="10:10">
      <c r="J2819" s="7"/>
    </row>
    <row r="2820" spans="10:10">
      <c r="J2820" s="7"/>
    </row>
    <row r="2821" spans="10:10">
      <c r="J2821" s="7"/>
    </row>
    <row r="2822" spans="10:10">
      <c r="J2822" s="7"/>
    </row>
    <row r="2823" spans="10:10">
      <c r="J2823" s="7"/>
    </row>
    <row r="2824" spans="10:10">
      <c r="J2824" s="7"/>
    </row>
    <row r="2825" spans="10:10">
      <c r="J2825" s="7"/>
    </row>
    <row r="2826" spans="10:10">
      <c r="J2826" s="7"/>
    </row>
    <row r="2827" spans="10:10">
      <c r="J2827" s="7"/>
    </row>
    <row r="2828" spans="10:10">
      <c r="J2828" s="7"/>
    </row>
    <row r="2829" spans="10:10">
      <c r="J2829" s="7"/>
    </row>
    <row r="2830" spans="10:10">
      <c r="J2830" s="7"/>
    </row>
    <row r="2831" spans="10:10">
      <c r="J2831" s="7"/>
    </row>
    <row r="2832" spans="10:10">
      <c r="J2832" s="7"/>
    </row>
    <row r="2833" spans="10:10">
      <c r="J2833" s="7"/>
    </row>
    <row r="2834" spans="10:10">
      <c r="J2834" s="7"/>
    </row>
    <row r="2835" spans="10:10">
      <c r="J2835" s="7"/>
    </row>
    <row r="2836" spans="10:10">
      <c r="J2836" s="7"/>
    </row>
    <row r="2837" spans="10:10">
      <c r="J2837" s="7"/>
    </row>
    <row r="2838" spans="10:10">
      <c r="J2838" s="7"/>
    </row>
    <row r="2839" spans="10:10">
      <c r="J2839" s="7"/>
    </row>
    <row r="2840" spans="10:10">
      <c r="J2840" s="7"/>
    </row>
    <row r="2841" spans="10:10">
      <c r="J2841" s="7"/>
    </row>
    <row r="2842" spans="10:10">
      <c r="J2842" s="7"/>
    </row>
    <row r="2843" spans="10:10">
      <c r="J2843" s="7"/>
    </row>
    <row r="2844" spans="10:10">
      <c r="J2844" s="7"/>
    </row>
    <row r="2845" spans="10:10">
      <c r="J2845" s="7"/>
    </row>
    <row r="2846" spans="10:10">
      <c r="J2846" s="7"/>
    </row>
    <row r="2847" spans="10:10">
      <c r="J2847" s="7"/>
    </row>
    <row r="2848" spans="10:10">
      <c r="J2848" s="7"/>
    </row>
    <row r="2849" spans="10:10">
      <c r="J2849" s="7"/>
    </row>
    <row r="2850" spans="10:10">
      <c r="J2850" s="7"/>
    </row>
    <row r="2851" spans="10:10">
      <c r="J2851" s="7"/>
    </row>
    <row r="2852" spans="10:10">
      <c r="J2852" s="7"/>
    </row>
    <row r="2853" spans="10:10">
      <c r="J2853" s="7"/>
    </row>
    <row r="2854" spans="10:10">
      <c r="J2854" s="7"/>
    </row>
    <row r="2855" spans="10:10">
      <c r="J2855" s="7"/>
    </row>
    <row r="2856" spans="10:10">
      <c r="J2856" s="7"/>
    </row>
    <row r="2857" spans="10:10">
      <c r="J2857" s="7"/>
    </row>
    <row r="2858" spans="10:10">
      <c r="J2858" s="7"/>
    </row>
    <row r="2859" spans="10:10">
      <c r="J2859" s="7"/>
    </row>
    <row r="2860" spans="10:10">
      <c r="J2860" s="7"/>
    </row>
    <row r="2861" spans="10:10">
      <c r="J2861" s="7"/>
    </row>
    <row r="2862" spans="10:10">
      <c r="J2862" s="7"/>
    </row>
    <row r="2863" spans="10:10">
      <c r="J2863" s="7"/>
    </row>
    <row r="2864" spans="10:10">
      <c r="J2864" s="7"/>
    </row>
    <row r="2865" spans="10:10">
      <c r="J2865" s="7"/>
    </row>
    <row r="2866" spans="10:10">
      <c r="J2866" s="7"/>
    </row>
    <row r="2867" spans="10:10">
      <c r="J2867" s="7"/>
    </row>
    <row r="2868" spans="10:10">
      <c r="J2868" s="7"/>
    </row>
    <row r="2869" spans="10:10">
      <c r="J2869" s="7"/>
    </row>
    <row r="2870" spans="10:10">
      <c r="J2870" s="7"/>
    </row>
    <row r="2871" spans="10:10">
      <c r="J2871" s="7"/>
    </row>
    <row r="2872" spans="10:10">
      <c r="J2872" s="7"/>
    </row>
    <row r="2873" spans="10:10">
      <c r="J2873" s="7"/>
    </row>
    <row r="2874" spans="10:10">
      <c r="J2874" s="7"/>
    </row>
    <row r="2875" spans="10:10">
      <c r="J2875" s="7"/>
    </row>
    <row r="2876" spans="10:10">
      <c r="J2876" s="7"/>
    </row>
    <row r="2877" spans="10:10">
      <c r="J2877" s="7"/>
    </row>
    <row r="2878" spans="10:10">
      <c r="J2878" s="7"/>
    </row>
    <row r="2879" spans="10:10">
      <c r="J2879" s="7"/>
    </row>
    <row r="2880" spans="10:10">
      <c r="J2880" s="7"/>
    </row>
    <row r="2881" spans="10:10">
      <c r="J2881" s="7"/>
    </row>
    <row r="2882" spans="10:10">
      <c r="J2882" s="7"/>
    </row>
    <row r="2883" spans="10:10">
      <c r="J2883" s="7"/>
    </row>
    <row r="2884" spans="10:10">
      <c r="J2884" s="7"/>
    </row>
    <row r="2885" spans="10:10">
      <c r="J2885" s="7"/>
    </row>
    <row r="2886" spans="10:10">
      <c r="J2886" s="7"/>
    </row>
    <row r="2887" spans="10:10">
      <c r="J2887" s="7"/>
    </row>
    <row r="2888" spans="10:10">
      <c r="J2888" s="7"/>
    </row>
    <row r="2889" spans="10:10">
      <c r="J2889" s="7"/>
    </row>
    <row r="2890" spans="10:10">
      <c r="J2890" s="7"/>
    </row>
    <row r="2891" spans="10:10">
      <c r="J2891" s="7"/>
    </row>
    <row r="2892" spans="10:10">
      <c r="J2892" s="7"/>
    </row>
    <row r="2893" spans="10:10">
      <c r="J2893" s="7"/>
    </row>
    <row r="2894" spans="10:10">
      <c r="J2894" s="7"/>
    </row>
    <row r="2895" spans="10:10">
      <c r="J2895" s="7"/>
    </row>
    <row r="2896" spans="10:10">
      <c r="J2896" s="7"/>
    </row>
    <row r="2897" spans="10:10">
      <c r="J2897" s="7"/>
    </row>
    <row r="2898" spans="10:10">
      <c r="J2898" s="7"/>
    </row>
    <row r="2899" spans="10:10">
      <c r="J2899" s="7"/>
    </row>
    <row r="2900" spans="10:10">
      <c r="J2900" s="7"/>
    </row>
    <row r="2901" spans="10:10">
      <c r="J2901" s="7"/>
    </row>
    <row r="2902" spans="10:10">
      <c r="J2902" s="7"/>
    </row>
    <row r="2903" spans="10:10">
      <c r="J2903" s="7"/>
    </row>
    <row r="2904" spans="10:10">
      <c r="J2904" s="7"/>
    </row>
    <row r="2905" spans="10:10">
      <c r="J2905" s="7"/>
    </row>
    <row r="2906" spans="10:10">
      <c r="J2906" s="7"/>
    </row>
    <row r="2907" spans="10:10">
      <c r="J2907" s="7"/>
    </row>
    <row r="2908" spans="10:10">
      <c r="J2908" s="7"/>
    </row>
    <row r="2909" spans="10:10">
      <c r="J2909" s="7"/>
    </row>
    <row r="2910" spans="10:10">
      <c r="J2910" s="7"/>
    </row>
    <row r="2911" spans="10:10">
      <c r="J2911" s="7"/>
    </row>
    <row r="2912" spans="10:10">
      <c r="J2912" s="7"/>
    </row>
    <row r="2913" spans="10:10">
      <c r="J2913" s="7"/>
    </row>
    <row r="2914" spans="10:10">
      <c r="J2914" s="7"/>
    </row>
    <row r="2915" spans="10:10">
      <c r="J2915" s="7"/>
    </row>
    <row r="2916" spans="10:10">
      <c r="J2916" s="7"/>
    </row>
    <row r="2917" spans="10:10">
      <c r="J2917" s="7"/>
    </row>
    <row r="2918" spans="10:10">
      <c r="J2918" s="7"/>
    </row>
    <row r="2919" spans="10:10">
      <c r="J2919" s="7"/>
    </row>
    <row r="2920" spans="10:10">
      <c r="J2920" s="7"/>
    </row>
    <row r="2921" spans="10:10">
      <c r="J2921" s="7"/>
    </row>
    <row r="2922" spans="10:10">
      <c r="J2922" s="7"/>
    </row>
    <row r="2923" spans="10:10">
      <c r="J2923" s="7"/>
    </row>
    <row r="2924" spans="10:10">
      <c r="J2924" s="7"/>
    </row>
    <row r="2925" spans="10:10">
      <c r="J2925" s="7"/>
    </row>
    <row r="2926" spans="10:10">
      <c r="J2926" s="7"/>
    </row>
    <row r="2927" spans="10:10">
      <c r="J2927" s="7"/>
    </row>
    <row r="2928" spans="10:10">
      <c r="J2928" s="7"/>
    </row>
    <row r="2929" spans="10:10">
      <c r="J2929" s="7"/>
    </row>
    <row r="2930" spans="10:10">
      <c r="J2930" s="7"/>
    </row>
    <row r="2931" spans="10:10">
      <c r="J2931" s="7"/>
    </row>
    <row r="2932" spans="10:10">
      <c r="J2932" s="7"/>
    </row>
    <row r="2933" spans="10:10">
      <c r="J2933" s="7"/>
    </row>
    <row r="2934" spans="10:10">
      <c r="J2934" s="7"/>
    </row>
    <row r="2935" spans="10:10">
      <c r="J2935" s="7"/>
    </row>
    <row r="2936" spans="10:10">
      <c r="J2936" s="7"/>
    </row>
    <row r="2937" spans="10:10">
      <c r="J2937" s="7"/>
    </row>
    <row r="2938" spans="10:10">
      <c r="J2938" s="7"/>
    </row>
    <row r="2939" spans="10:10">
      <c r="J2939" s="7"/>
    </row>
    <row r="2940" spans="10:10">
      <c r="J2940" s="7"/>
    </row>
    <row r="2941" spans="10:10">
      <c r="J2941" s="7"/>
    </row>
    <row r="2942" spans="10:10">
      <c r="J2942" s="7"/>
    </row>
    <row r="2943" spans="10:10">
      <c r="J2943" s="7"/>
    </row>
    <row r="2944" spans="10:10">
      <c r="J2944" s="7"/>
    </row>
    <row r="2945" spans="10:10">
      <c r="J2945" s="7"/>
    </row>
    <row r="2946" spans="10:10">
      <c r="J2946" s="7"/>
    </row>
    <row r="2947" spans="10:10">
      <c r="J2947" s="7"/>
    </row>
    <row r="2948" spans="10:10">
      <c r="J2948" s="7"/>
    </row>
    <row r="2949" spans="10:10">
      <c r="J2949" s="7"/>
    </row>
    <row r="2950" spans="10:10">
      <c r="J2950" s="7"/>
    </row>
    <row r="2951" spans="10:10">
      <c r="J2951" s="7"/>
    </row>
    <row r="2952" spans="10:10">
      <c r="J2952" s="7"/>
    </row>
    <row r="2953" spans="10:10">
      <c r="J2953" s="7"/>
    </row>
    <row r="2954" spans="10:10">
      <c r="J2954" s="7"/>
    </row>
    <row r="2955" spans="10:10">
      <c r="J2955" s="7"/>
    </row>
    <row r="2956" spans="10:10">
      <c r="J2956" s="7"/>
    </row>
    <row r="2957" spans="10:10">
      <c r="J2957" s="7"/>
    </row>
    <row r="2958" spans="10:10">
      <c r="J2958" s="7"/>
    </row>
    <row r="2959" spans="10:10">
      <c r="J2959" s="7"/>
    </row>
    <row r="2960" spans="10:10">
      <c r="J2960" s="7"/>
    </row>
    <row r="2961" spans="10:10">
      <c r="J2961" s="7"/>
    </row>
    <row r="2962" spans="10:10">
      <c r="J2962" s="7"/>
    </row>
    <row r="2963" spans="10:10">
      <c r="J2963" s="7"/>
    </row>
    <row r="2964" spans="10:10">
      <c r="J2964" s="7"/>
    </row>
    <row r="2965" spans="10:10">
      <c r="J2965" s="7"/>
    </row>
    <row r="2966" spans="10:10">
      <c r="J2966" s="7"/>
    </row>
    <row r="2967" spans="10:10">
      <c r="J2967" s="7"/>
    </row>
    <row r="2968" spans="10:10">
      <c r="J2968" s="7"/>
    </row>
    <row r="2969" spans="10:10">
      <c r="J2969" s="7"/>
    </row>
    <row r="2970" spans="10:10">
      <c r="J2970" s="7"/>
    </row>
    <row r="2971" spans="10:10">
      <c r="J2971" s="7"/>
    </row>
    <row r="2972" spans="10:10">
      <c r="J2972" s="7"/>
    </row>
    <row r="2973" spans="10:10">
      <c r="J2973" s="7"/>
    </row>
    <row r="2974" spans="10:10">
      <c r="J2974" s="7"/>
    </row>
    <row r="2975" spans="10:10">
      <c r="J2975" s="7"/>
    </row>
    <row r="2976" spans="10:10">
      <c r="J2976" s="7"/>
    </row>
    <row r="2977" spans="10:10">
      <c r="J2977" s="7"/>
    </row>
    <row r="2978" spans="10:10">
      <c r="J2978" s="7"/>
    </row>
    <row r="2979" spans="10:10">
      <c r="J2979" s="7"/>
    </row>
    <row r="2980" spans="10:10">
      <c r="J2980" s="7"/>
    </row>
    <row r="2981" spans="10:10">
      <c r="J2981" s="7"/>
    </row>
    <row r="2982" spans="10:10">
      <c r="J2982" s="7"/>
    </row>
    <row r="2983" spans="10:10">
      <c r="J2983" s="7"/>
    </row>
    <row r="2984" spans="10:10">
      <c r="J2984" s="7"/>
    </row>
    <row r="2985" spans="10:10">
      <c r="J2985" s="7"/>
    </row>
    <row r="2986" spans="10:10">
      <c r="J2986" s="7"/>
    </row>
  </sheetData>
  <mergeCells count="4">
    <mergeCell ref="Q1:Q1048576"/>
    <mergeCell ref="E1:E1048576"/>
    <mergeCell ref="I1:I1048576"/>
    <mergeCell ref="M1:M1048576"/>
  </mergeCells>
  <phoneticPr fontId="0" type="noConversion"/>
  <dataValidations count="1">
    <dataValidation type="whole" allowBlank="1" showInputMessage="1" showErrorMessage="1" errorTitle="Actual Progress Error" error="Actual Progress can only be binary and represents the completed status of a subtask." sqref="AD4:AD660 R4:R660 F4:F1864 J4:J2154 V4:V660 Z4:Z660 N4:N660">
      <formula1>0</formula1>
      <formula2>1</formula2>
    </dataValidation>
  </dataValidations>
  <pageMargins left="0.75" right="0.75" top="1" bottom="1" header="0.5" footer="0.5"/>
  <pageSetup scale="72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H20"/>
  <sheetViews>
    <sheetView workbookViewId="0">
      <selection activeCell="C25" sqref="C25"/>
    </sheetView>
  </sheetViews>
  <sheetFormatPr defaultRowHeight="12.75"/>
  <cols>
    <col min="1" max="1" width="8.42578125" bestFit="1" customWidth="1"/>
    <col min="2" max="2" width="19.28515625" bestFit="1" customWidth="1"/>
    <col min="3" max="3" width="14.140625" bestFit="1" customWidth="1"/>
    <col min="4" max="4" width="24.7109375" bestFit="1" customWidth="1"/>
    <col min="5" max="5" width="21.85546875" bestFit="1" customWidth="1"/>
    <col min="6" max="6" width="19.140625" bestFit="1" customWidth="1"/>
    <col min="7" max="7" width="12.85546875" bestFit="1" customWidth="1"/>
  </cols>
  <sheetData>
    <row r="2" spans="1:8">
      <c r="C2" s="1" t="s">
        <v>31</v>
      </c>
      <c r="D2" s="11">
        <v>39727</v>
      </c>
    </row>
    <row r="4" spans="1:8">
      <c r="A4" s="13" t="s">
        <v>0</v>
      </c>
      <c r="B4" s="13" t="s">
        <v>7</v>
      </c>
      <c r="C4" s="13" t="s">
        <v>29</v>
      </c>
      <c r="D4" s="13" t="s">
        <v>19</v>
      </c>
      <c r="E4" s="13" t="s">
        <v>11</v>
      </c>
      <c r="F4" s="13" t="s">
        <v>20</v>
      </c>
      <c r="G4" s="13" t="s">
        <v>22</v>
      </c>
    </row>
    <row r="5" spans="1:8">
      <c r="A5" s="8"/>
      <c r="B5" s="8"/>
      <c r="C5" s="9"/>
      <c r="D5" s="11">
        <v>39668</v>
      </c>
      <c r="E5" s="10">
        <v>0</v>
      </c>
      <c r="F5" s="2">
        <v>0</v>
      </c>
      <c r="G5" s="2">
        <v>0</v>
      </c>
    </row>
    <row r="6" spans="1:8">
      <c r="A6" s="14" t="str">
        <f>Activities!A4</f>
        <v>Person 1</v>
      </c>
      <c r="B6" s="3" t="str">
        <f>Activities!B4</f>
        <v>Architecture</v>
      </c>
      <c r="C6">
        <f>Activities!C4</f>
        <v>3</v>
      </c>
      <c r="D6" s="12">
        <f>WORKDAY(D5-1,C6)</f>
        <v>39672</v>
      </c>
      <c r="E6" s="2">
        <f>SUM($C$6:C6)/$C$14</f>
        <v>0.12</v>
      </c>
      <c r="F6" s="2">
        <f t="shared" ref="F6:F12" si="0">C6/$C$14</f>
        <v>0.12</v>
      </c>
      <c r="G6" s="2">
        <f>IF(Activities!AD5=0,0,Activities!D5)+IF(Activities!AD6=0,0,Activities!D6)+IF(Activities!AD7=0,0,Activities!D7)+IF(Activities!AD8=0,0,Activities!D8)+IF(Activities!AD9=0,0,Activities!D9)+IF(Activities!AD10=0,0,Activities!D10)+IF(Activities!AD11=0,0,Activities!D11)</f>
        <v>1</v>
      </c>
      <c r="H6" s="2"/>
    </row>
    <row r="7" spans="1:8">
      <c r="A7" s="14" t="str">
        <f>Activities!A13</f>
        <v>Person 1</v>
      </c>
      <c r="B7" s="3" t="str">
        <f>Activities!B13</f>
        <v>Entities / Contracts</v>
      </c>
      <c r="C7">
        <f>Activities!C13</f>
        <v>2</v>
      </c>
      <c r="D7" s="12">
        <f t="shared" ref="D7:D9" si="1">WORKDAY(D6,C7)</f>
        <v>39674</v>
      </c>
      <c r="E7" s="2">
        <f>SUM($C$6:C7)/$C$14</f>
        <v>0.2</v>
      </c>
      <c r="F7" s="2">
        <f t="shared" si="0"/>
        <v>0.08</v>
      </c>
      <c r="G7" s="2">
        <f>IF(Activities!AD14=0,0,Activities!D14)+IF(Activities!AD15=0,0,Activities!D15)+IF(Activities!AD16=0,0,Activities!D16)+IF(Activities!AD17=0,0,Activities!D17)+IF(Activities!AD18=0,0,Activities!D18)+IF(Activities!AD19=0,0,Activities!D19)+IF(Activities!AD20=0,0,Activities!D20)</f>
        <v>1</v>
      </c>
      <c r="H7" s="2"/>
    </row>
    <row r="8" spans="1:8">
      <c r="A8" s="14" t="str">
        <f>Activities!A22</f>
        <v>Person 1</v>
      </c>
      <c r="B8" s="3" t="str">
        <f>Activities!B22</f>
        <v>Publication DAL / Database</v>
      </c>
      <c r="C8">
        <f>Activities!C22</f>
        <v>2</v>
      </c>
      <c r="D8" s="12">
        <f t="shared" si="1"/>
        <v>39678</v>
      </c>
      <c r="E8" s="2">
        <f>SUM($C$6:C8)/$C$14</f>
        <v>0.28000000000000003</v>
      </c>
      <c r="F8" s="2">
        <f t="shared" si="0"/>
        <v>0.08</v>
      </c>
      <c r="G8" s="2">
        <f>IF(Activities!AD23=0,0,Activities!D23)+IF(Activities!AD24=0,0,Activities!D24)+IF(Activities!AD25=0,0,Activities!D25)+IF(Activities!AD26=0,0,Activities!D26)+IF(Activities!AD27=0,0,Activities!D27)+IF(Activities!AD28=0,0,Activities!D28)+IF(Activities!AD29=0,0,Activities!D29)</f>
        <v>1</v>
      </c>
    </row>
    <row r="9" spans="1:8">
      <c r="A9" s="14" t="str">
        <f>Activities!A31</f>
        <v>Person 1</v>
      </c>
      <c r="B9" s="3" t="str">
        <f>Activities!B31</f>
        <v>Media Service</v>
      </c>
      <c r="C9">
        <f>Activities!C31</f>
        <v>3</v>
      </c>
      <c r="D9" s="12">
        <f t="shared" si="1"/>
        <v>39681</v>
      </c>
      <c r="E9" s="2">
        <f>SUM($C$6:C9)/$C$14</f>
        <v>0.4</v>
      </c>
      <c r="F9" s="2">
        <f t="shared" si="0"/>
        <v>0.12</v>
      </c>
      <c r="G9" s="2">
        <f>IF(Activities!AD32=0,0,Activities!D32)+IF(Activities!AD33=0,0,Activities!D33)+IF(Activities!AD34=0,0,Activities!D34)+IF(Activities!AD35=0,0,Activities!D35)+IF(Activities!AD36=0,0,Activities!D36)+IF(Activities!AD37=0,0,Activities!D37)+IF(Activities!AD38=0,0,Activities!D38)</f>
        <v>1</v>
      </c>
    </row>
    <row r="10" spans="1:8">
      <c r="A10" s="14" t="str">
        <f>Activities!A40</f>
        <v>Person 1</v>
      </c>
      <c r="B10" s="3" t="str">
        <f>Activities!B40</f>
        <v>Distribution Hub Service</v>
      </c>
      <c r="C10">
        <f>Activities!C40</f>
        <v>6</v>
      </c>
      <c r="D10" s="12">
        <f t="shared" ref="D10:D12" si="2">WORKDAY(D9,C10)</f>
        <v>39689</v>
      </c>
      <c r="E10" s="2">
        <f>SUM($C$6:C10)/$C$14</f>
        <v>0.64</v>
      </c>
      <c r="F10" s="2">
        <f t="shared" si="0"/>
        <v>0.24</v>
      </c>
      <c r="G10" s="2">
        <f>IF(Activities!AD41=0,0,Activities!D41)+IF(Activities!AD42=0,0,Activities!D42)+IF(Activities!AD43=0,0,Activities!D43)+IF(Activities!AD44=0,0,Activities!D44)+IF(Activities!AD45=0,0,Activities!D45)+IF(Activities!AD46=0,0,Activities!D46)+IF(Activities!AD47=0,0,Activities!D47)</f>
        <v>1</v>
      </c>
    </row>
    <row r="11" spans="1:8">
      <c r="A11" s="14" t="str">
        <f>Activities!A49</f>
        <v>Person 1</v>
      </c>
      <c r="B11" s="3" t="str">
        <f>Activities!B49</f>
        <v>Publication Service</v>
      </c>
      <c r="C11">
        <f>Activities!C49</f>
        <v>6</v>
      </c>
      <c r="D11" s="12">
        <f t="shared" si="2"/>
        <v>39699</v>
      </c>
      <c r="E11" s="2">
        <f>SUM($C$6:C11)/$C$14</f>
        <v>0.88</v>
      </c>
      <c r="F11" s="2">
        <f t="shared" si="0"/>
        <v>0.24</v>
      </c>
      <c r="G11" s="2">
        <f>IF(Activities!AD50=0,0,Activities!D50)+IF(Activities!AD51=0,0,Activities!D51)+IF(Activities!AD52=0,0,Activities!D52)+IF(Activities!AD53=0,0,Activities!D53)+IF(Activities!AD54=0,0,Activities!D54)+IF(Activities!AD55=0,0,Activities!D55)+IF(Activities!AD56=0,0,Activities!D56)</f>
        <v>1</v>
      </c>
    </row>
    <row r="12" spans="1:8">
      <c r="A12" s="14" t="str">
        <f>Activities!A58</f>
        <v>Person 1</v>
      </c>
      <c r="B12" s="3" t="str">
        <f>Activities!B58</f>
        <v>Client</v>
      </c>
      <c r="C12">
        <f>Activities!C58</f>
        <v>3</v>
      </c>
      <c r="D12" s="12">
        <f t="shared" si="2"/>
        <v>39702</v>
      </c>
      <c r="E12" s="2">
        <f>SUM($C$6:C12)/$C$14</f>
        <v>1</v>
      </c>
      <c r="F12" s="2">
        <f t="shared" si="0"/>
        <v>0.12</v>
      </c>
      <c r="G12" s="2">
        <f>IF(Activities!AD59=0,0,Activities!D59)+IF(Activities!AD60=0,0,Activities!D60)+IF(Activities!AD61=0,0,Activities!D61)+IF(Activities!AD62=0,0,Activities!D62)+IF(Activities!AD63=0,0,Activities!D63)+IF(Activities!AD64=0,0,Activities!D64)+IF(Activities!AD65=0,0,Activities!D65)</f>
        <v>1</v>
      </c>
    </row>
    <row r="13" spans="1:8" ht="13.5" thickBot="1">
      <c r="C13" s="15"/>
      <c r="E13" s="2"/>
      <c r="F13" s="2"/>
      <c r="G13" s="2"/>
    </row>
    <row r="14" spans="1:8" ht="14.25" thickTop="1" thickBot="1">
      <c r="B14" s="8" t="s">
        <v>17</v>
      </c>
      <c r="C14" s="15">
        <f>SUM(C6:C12)</f>
        <v>25</v>
      </c>
      <c r="E14" s="2"/>
      <c r="H14" t="s">
        <v>13</v>
      </c>
    </row>
    <row r="15" spans="1:8" ht="13.5" thickTop="1"/>
    <row r="17" spans="2:4">
      <c r="C17" s="11"/>
      <c r="D17" s="12"/>
    </row>
    <row r="18" spans="2:4">
      <c r="D18" s="7"/>
    </row>
    <row r="19" spans="2:4">
      <c r="D19" s="21"/>
    </row>
    <row r="20" spans="2:4">
      <c r="B20" s="12"/>
    </row>
  </sheetData>
  <phoneticPr fontId="0" type="noConversion"/>
  <hyperlinks>
    <hyperlink ref="B9" location="ActivitiesEffortEstimation!C44" display="ActivitiesEffortEstimation!C44"/>
    <hyperlink ref="B6" location="ActivitiesEffortEstimation!C4" display="ActivitiesEffortEstimation!C4"/>
    <hyperlink ref="B8" location="ActivitiesEffortEstimation!C26" display="ActivitiesEffortEstimation!C26"/>
    <hyperlink ref="B7" location="ActivitiesEffortEstimation!C16" display="ActivitiesEffortEstimation!C16"/>
    <hyperlink ref="B10" location="ActivitiesEffortEstimation!C44" display="ActivitiesEffortEstimation!C44"/>
    <hyperlink ref="B11" location="ActivitiesEffortEstimation!C44" display="ActivitiesEffortEstimation!C44"/>
    <hyperlink ref="B12" location="ActivitiesEffortEstimation!C44" display="ActivitiesEffortEstimation!C44"/>
  </hyperlinks>
  <pageMargins left="0.75" right="0.75" top="1" bottom="1" header="0.5" footer="0.5"/>
  <pageSetup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8"/>
  <sheetViews>
    <sheetView workbookViewId="0">
      <selection activeCell="A9" sqref="A9:XFD9"/>
    </sheetView>
  </sheetViews>
  <sheetFormatPr defaultRowHeight="12.75"/>
  <cols>
    <col min="1" max="1" width="15.140625" customWidth="1"/>
    <col min="2" max="2" width="13.42578125" bestFit="1" customWidth="1"/>
    <col min="3" max="3" width="11.5703125" bestFit="1" customWidth="1"/>
    <col min="4" max="4" width="13.85546875" bestFit="1" customWidth="1"/>
    <col min="10" max="10" width="25.140625" bestFit="1" customWidth="1"/>
  </cols>
  <sheetData>
    <row r="1" spans="1:4">
      <c r="A1" t="s">
        <v>21</v>
      </c>
    </row>
    <row r="2" spans="1:4">
      <c r="A2" s="13" t="s">
        <v>10</v>
      </c>
      <c r="B2" s="13" t="s">
        <v>15</v>
      </c>
      <c r="C2" s="13" t="s">
        <v>16</v>
      </c>
    </row>
    <row r="3" spans="1:4">
      <c r="A3" s="6">
        <f>Activities!F3</f>
        <v>39668</v>
      </c>
      <c r="B3" s="2">
        <v>0</v>
      </c>
      <c r="C3" s="2">
        <v>0</v>
      </c>
    </row>
    <row r="4" spans="1:4">
      <c r="A4" s="6">
        <f>Activities!J3</f>
        <v>39675</v>
      </c>
      <c r="B4" s="2">
        <f>SUM(Activities!K4:K66)/'Project Plan'!$C$14</f>
        <v>0.2</v>
      </c>
      <c r="C4" s="2">
        <f>SUM(Activities!L4:L1650)/'Project Plan'!$C$14</f>
        <v>0.2</v>
      </c>
      <c r="D4" s="19"/>
    </row>
    <row r="5" spans="1:4">
      <c r="A5" s="6">
        <f>Activities!N3</f>
        <v>39682</v>
      </c>
      <c r="B5" s="2">
        <f>SUM(Activities!O4:O66)/'Project Plan'!$C$14</f>
        <v>0.4</v>
      </c>
      <c r="C5" s="2">
        <f>C4+SUM(Activities!P4:P1650)/'Project Plan'!$C$14</f>
        <v>0.4</v>
      </c>
      <c r="D5" s="2"/>
    </row>
    <row r="6" spans="1:4">
      <c r="A6" s="6">
        <f>Activities!R3</f>
        <v>39689</v>
      </c>
      <c r="B6" s="2">
        <f>SUM(Activities!S4:S66)/'Project Plan'!$C$14</f>
        <v>0.52</v>
      </c>
      <c r="C6" s="2">
        <f>C5+SUM(Activities!T5:T1651)/'Project Plan'!$C$14</f>
        <v>0.68</v>
      </c>
    </row>
    <row r="7" spans="1:4">
      <c r="A7" s="6">
        <f>Activities!V3</f>
        <v>39696</v>
      </c>
      <c r="B7" s="2">
        <f>SUM(Activities!W4:W66)/'Project Plan'!$C$14</f>
        <v>0.64</v>
      </c>
      <c r="C7" s="2">
        <f>C6+SUM(Activities!X6:X1652)/'Project Plan'!$C$14</f>
        <v>0.92</v>
      </c>
    </row>
    <row r="8" spans="1:4">
      <c r="A8" s="6">
        <f>Activities!Z3</f>
        <v>39703</v>
      </c>
      <c r="B8" s="2">
        <f>SUM(Activities!AA4:AA66)/'Project Plan'!$C$14</f>
        <v>1</v>
      </c>
      <c r="C8" s="2">
        <f>C7+SUM(Activities!AB7:AB653)/'Project Plan'!$C$14</f>
        <v>1.1600000000000001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2:G39"/>
  <sheetViews>
    <sheetView workbookViewId="0">
      <selection activeCell="J28" sqref="J28"/>
    </sheetView>
  </sheetViews>
  <sheetFormatPr defaultRowHeight="12.75"/>
  <sheetData>
    <row r="2" spans="2:7">
      <c r="B2" t="s">
        <v>23</v>
      </c>
    </row>
    <row r="9" spans="2:7">
      <c r="B9" t="s">
        <v>24</v>
      </c>
    </row>
    <row r="10" spans="2:7">
      <c r="G10" s="1" t="s">
        <v>38</v>
      </c>
    </row>
    <row r="11" spans="2:7">
      <c r="G11" s="14"/>
    </row>
    <row r="17" spans="2:2">
      <c r="B17" t="s">
        <v>25</v>
      </c>
    </row>
    <row r="23" spans="2:2">
      <c r="B23" t="s">
        <v>26</v>
      </c>
    </row>
    <row r="31" spans="2:2">
      <c r="B31" t="s">
        <v>27</v>
      </c>
    </row>
    <row r="39" spans="2:2">
      <c r="B39" t="s">
        <v>28</v>
      </c>
    </row>
  </sheetData>
  <phoneticPr fontId="9" type="noConversion"/>
  <pageMargins left="0.75" right="0.75" top="1" bottom="1" header="0.5" footer="0.5"/>
  <pageSetup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Activities</vt:lpstr>
      <vt:lpstr>Project Plan</vt:lpstr>
      <vt:lpstr>Actual Progress</vt:lpstr>
      <vt:lpstr>Analysis</vt:lpstr>
      <vt:lpstr>Earned Value Trends</vt:lpstr>
      <vt:lpstr>Activities!Print_Area</vt:lpstr>
    </vt:vector>
  </TitlesOfParts>
  <Company>ITV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Bloom Publication</dc:title>
  <dc:creator>Stuart Snaddon</dc:creator>
  <cp:lastModifiedBy>Windows User</cp:lastModifiedBy>
  <cp:lastPrinted>2007-01-09T12:54:36Z</cp:lastPrinted>
  <dcterms:created xsi:type="dcterms:W3CDTF">2003-07-14T16:15:06Z</dcterms:created>
  <dcterms:modified xsi:type="dcterms:W3CDTF">2009-02-16T21:44:42Z</dcterms:modified>
</cp:coreProperties>
</file>